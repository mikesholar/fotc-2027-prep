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Maxes" sheetId="2" r:id="rId6"/>
    <sheet state="visible" name="Ramp-In Jun9-Jul19" sheetId="3" r:id="rId7"/>
    <sheet state="visible" name="B1 Base W1-5" sheetId="4" r:id="rId8"/>
    <sheet state="visible" name="B2 Build W6-10" sheetId="5" r:id="rId9"/>
    <sheet state="visible" name="B3 Qualifier W11-15" sheetId="6" r:id="rId10"/>
    <sheet state="visible" name="B4 Rebuild W16-20" sheetId="7" r:id="rId11"/>
    <sheet state="visible" name="B5 Champ Prep W21-24" sheetId="8" r:id="rId12"/>
    <sheet state="visible" name="B6 Peak W25-26" sheetId="9" r:id="rId13"/>
    <sheet state="visible" name="Benchmarks" sheetId="10" r:id="rId14"/>
    <sheet state="visible" name="Event History" sheetId="11" r:id="rId15"/>
  </sheets>
  <definedNames/>
  <calcPr/>
</workbook>
</file>

<file path=xl/sharedStrings.xml><?xml version="1.0" encoding="utf-8"?>
<sst xmlns="http://schemas.openxmlformats.org/spreadsheetml/2006/main" count="777" uniqueCount="571">
  <si>
    <t>FOTC 2027 — 26-WEEK PREP · NOVICE TEAM · MIKE</t>
  </si>
  <si>
    <t>Layered on top of CrossFit classes as extra work. Coastal Qualifier: Oct 1–28, 2026 — workouts release Thursdays 7pm ET, scores due following Wednesday 9pm ET, 5 scores over 4 weeks (one surprise double week). Championship: Jan 15–17, 2027, Charleston Convention Center (teams compete Sat afternoon into Sunday, Jan 16–17). Registration opens Aug 1 — register Novice Team — BOTH partners register.</t>
  </si>
  <si>
    <t>WK</t>
  </si>
  <si>
    <t>DATES</t>
  </si>
  <si>
    <t>BLOCK</t>
  </si>
  <si>
    <t>FOCUS</t>
  </si>
  <si>
    <t>KEY NOTES</t>
  </si>
  <si>
    <t>Jul 20–Jul 26</t>
  </si>
  <si>
    <t>B1 · Base</t>
  </si>
  <si>
    <t>Wave 1 begins + BASELINE TESTS</t>
  </si>
  <si>
    <t>Test: strict pull-ups, strict &amp; kipping HSPU max sets, 2k row, 4x400m</t>
  </si>
  <si>
    <t>Jul 27–Aug 02</t>
  </si>
  <si>
    <t>Wave 1 week 2 · strict gymnastics volume</t>
  </si>
  <si>
    <t>Aug 1: Coastal Qualifier registration opens — REGISTER (Novice Team — both partners)</t>
  </si>
  <si>
    <t>Aug 03–Aug 09</t>
  </si>
  <si>
    <t>Wave 1 week 3 (heaviest) · aerobic base</t>
  </si>
  <si>
    <t>Aug 10–Aug 16</t>
  </si>
  <si>
    <t>DELOAD</t>
  </si>
  <si>
    <t>Cut accessory volume ~1 set everywhere; easy Z2 Wednesday</t>
  </si>
  <si>
    <t>Aug 17–Aug 23</t>
  </si>
  <si>
    <t>Heavy-for-day singles · back-offs</t>
  </si>
  <si>
    <t>End of base — strict numbers should be moving</t>
  </si>
  <si>
    <t>Aug 24–Aug 30</t>
  </si>
  <si>
    <t>B2 · Build</t>
  </si>
  <si>
    <t>Heavy singles + wall-walk progression starts</t>
  </si>
  <si>
    <t>Fri shifts to push press; Sat = qualifier-style sims</t>
  </si>
  <si>
    <t>Aug 31–Sep 06</t>
  </si>
  <si>
    <t>Build week · HS walk + barbell cycling</t>
  </si>
  <si>
    <t>Sat sim = last year's Qualifier WK4, Novice version (KTC/BJO/DL 185)</t>
  </si>
  <si>
    <t>Sep 07–Sep 13</t>
  </si>
  <si>
    <t>Build week</t>
  </si>
  <si>
    <t>Mon Sep 7 = Labor Day — Whitten (tradition)</t>
  </si>
  <si>
    <t>Sep 14–Sep 20</t>
  </si>
  <si>
    <t>Last hard build week</t>
  </si>
  <si>
    <t>Sat sim = last year's Qualifier WK5, Novice version (SU/jumping-PU descender)</t>
  </si>
  <si>
    <t>Sep 21–Sep 27</t>
  </si>
  <si>
    <t>B2 · Taper</t>
  </si>
  <si>
    <t>QUALIFIER TAPER — volume −40%</t>
  </si>
  <si>
    <t>Rehearse the warm-up protocol · confirm judge/camera/Comp Corner login</t>
  </si>
  <si>
    <t>Sep 28–Oct 04</t>
  </si>
  <si>
    <t>B3 · Qualifier</t>
  </si>
  <si>
    <t>QUALIFIER WK1</t>
  </si>
  <si>
    <t>Releases Thu Oct 1, 7pm ET · attempt Fri · due Wed Oct 7</t>
  </si>
  <si>
    <t>Oct 05–Oct 11</t>
  </si>
  <si>
    <t>QUALIFIER WK2</t>
  </si>
  <si>
    <t>Releases Thu Oct 8 · due Wed Oct 14 · watch for surprise double week</t>
  </si>
  <si>
    <t>Oct 12–Oct 18</t>
  </si>
  <si>
    <t>QUALIFIER WK3</t>
  </si>
  <si>
    <t>Releases Thu Oct 15 · due Wed Oct 21</t>
  </si>
  <si>
    <t>Oct 19–Oct 25</t>
  </si>
  <si>
    <t>QUALIFIER WK4</t>
  </si>
  <si>
    <t>Releases Thu Oct 22 · due Wed Oct 28</t>
  </si>
  <si>
    <t>Oct 26–Nov 01</t>
  </si>
  <si>
    <t>Final scores + recovery transition</t>
  </si>
  <si>
    <t>Scores final Wed Oct 28 9pm · save all videos — FOTC emails video requests to qualifiers</t>
  </si>
  <si>
    <t>Nov 02–Nov 08</t>
  </si>
  <si>
    <t>B4 · Rebuild</t>
  </si>
  <si>
    <t>Volume reset + WEAKNESS AUDIT</t>
  </si>
  <si>
    <t>Retest gymnastics max sets — program weeks 17–18 attack what the qualifier exposed</t>
  </si>
  <si>
    <t>Nov 09–Nov 15</t>
  </si>
  <si>
    <t>Strength build · snatch tech · threshold engine</t>
  </si>
  <si>
    <t>Nov 16–Nov 22</t>
  </si>
  <si>
    <t>Heaviest rebuild week · clean tech</t>
  </si>
  <si>
    <t>Nov 23–Nov 29</t>
  </si>
  <si>
    <t>THANKSGIVING DELOAD</t>
  </si>
  <si>
    <t>Travel-friendly sessions · Whitten or turkey trot Thu Nov 26</t>
  </si>
  <si>
    <t>Nov 30–Dec 06</t>
  </si>
  <si>
    <t>B4 · Test</t>
  </si>
  <si>
    <t>MAX TESTING WEEK</t>
  </si>
  <si>
    <t>New 1RMs: BS/Bench/SP/FS + C&amp;J/Snatch — UPDATE MAXES TAB</t>
  </si>
  <si>
    <t>Dec 07–Dec 13</t>
  </si>
  <si>
    <t>B5 · Champ Prep</t>
  </si>
  <si>
    <t>Event simulations begin (off new maxes)</t>
  </si>
  <si>
    <t>Event 2+3 back-to-back sim Friday</t>
  </si>
  <si>
    <t>Dec 14–Dec 20</t>
  </si>
  <si>
    <t>Heavy mixed-object + capacity sims</t>
  </si>
  <si>
    <t>Dec 21–Dec 27</t>
  </si>
  <si>
    <t>CHRISTMAS — condensed 4 sessions</t>
  </si>
  <si>
    <t>Short and sharp; protect intensity, drop volume</t>
  </si>
  <si>
    <t>Dec 28–Jan 03</t>
  </si>
  <si>
    <t>FULL 2-DAY COMPETITION SIMULATION</t>
  </si>
  <si>
    <t>Sat Jan 2 + Sun Jan 3 · rehearse warm-ups, food, between-event recovery</t>
  </si>
  <si>
    <t>Jan 04–Jan 10</t>
  </si>
  <si>
    <t>B6 · Peak</t>
  </si>
  <si>
    <t>Sharpen — volume −50%, crisp primers</t>
  </si>
  <si>
    <t>Sleep 8+ · keep eating at maintenance · nothing new</t>
  </si>
  <si>
    <t>Jan 11–Jan 17</t>
  </si>
  <si>
    <t>COMPETE — FOTC Championship</t>
  </si>
  <si>
    <t>Thu rest · Fri travel + shakeout · Sat–Sun COMPETE (teams: Sat afternoon → Sun, Jan 16–17)</t>
  </si>
  <si>
    <t>LIFT</t>
  </si>
  <si>
    <t>1RM (lb)</t>
  </si>
  <si>
    <t>Notes</t>
  </si>
  <si>
    <t>Back Squat</t>
  </si>
  <si>
    <t>Front Squat</t>
  </si>
  <si>
    <t>Bench Press</t>
  </si>
  <si>
    <t>Strict Press</t>
  </si>
  <si>
    <t>Deadlift</t>
  </si>
  <si>
    <t>Clean &amp; Jerk</t>
  </si>
  <si>
    <t>ESTIMATE — test Week 20 and update</t>
  </si>
  <si>
    <t>Snatch</t>
  </si>
  <si>
    <t>PARTNER: save your own copy of this file and enter YOUR 1RMs above — every load in every week recalculates automatically.</t>
  </si>
  <si>
    <t>PERCENTAGE CHART (auto — update 1RMs above and everything recalculates; rounded to 5 lb)</t>
  </si>
  <si>
    <t>%</t>
  </si>
  <si>
    <t>RAMP-IN · JUN 9 – JUL 19 · one small thing before class, every day</t>
  </si>
  <si>
    <t>5/3/1 BBB is retired — from now until Week 1 (Jul 20), class is the training and this is the garnish. RULES: under 12 minutes · done BEFORE class · never to fatigue, never to failure, nothing should feel like a workout · miss a day, just pick up tomorrow (consistency beats completeness) · do NOT test anything — Week 1 of the plan is the test week. Meanwhile: lock in your partner, and remember registration opens Aug 1 (plan Week 2).</t>
  </si>
  <si>
    <t>DAY</t>
  </si>
  <si>
    <t>THE ONE THING (pre-class, ~10:00)</t>
  </si>
  <si>
    <t>WHY (what it feeds in the plan)</t>
  </si>
  <si>
    <t>LOADS / NOTES</t>
  </si>
  <si>
    <t>MON</t>
  </si>
  <si>
    <t>Shoulder armor — 2 rounds: 15 band face pulls · 10 table tops (:02 pause) · 12 banded external rotations/side · :30 dead hang</t>
  </si>
  <si>
    <t>The durability thread that runs the whole 26 weeks — keeps the rope-climb shoulder quiet before volume arrives</t>
  </si>
  <si>
    <t>Bands only. If anything pinches, smaller range, not more grit.</t>
  </si>
  <si>
    <t>TUE</t>
  </si>
  <si>
    <t>Jump rope cadence — 5:00 practice: 3–4 sets of 50–75 unbroken single-unders + 2 x 25 smooth double-unders</t>
  </si>
  <si>
    <t>Fort Sumter ran 75 SU you-go-I-go — SU speed is a scored skill at Novice</t>
  </si>
  <si>
    <t>Relaxed shoulders, wrists do the work. Count your biggest unbroken set weekly.</t>
  </si>
  <si>
    <t>WED</t>
  </si>
  <si>
    <t>Hang + midline — accumulate bar hang (target below) + 2 x 8 hanging leg raises, strict-ish</t>
  </si>
  <si>
    <t>JBC was a grip event (40 DB deadlifts → 30 pull-ups → CTB); leg raises were the Fort Sumter midline</t>
  </si>
  <si>
    <t>Mixed grip OK on hangs. Leg raises smooth, toes high, no swing.</t>
  </si>
  <si>
    <t>THU</t>
  </si>
  <si>
    <t>Barbell groove — E90s x 5: 1 clean &amp; jerk, climbing to ~65–70% and stopping there</t>
  </si>
  <si>
    <t>Hunley/Moose is the most predictable test at FOTC — one weekly touch keeps the pattern oiled with zero fatigue</t>
  </si>
  <si>
    <t>FRI</t>
  </si>
  <si>
    <t>Wall + bar touch — 3 x 2 wall walks (perfect line) + 3 x 3 CTB (or pull-ups if CTB isn't smooth that day)</t>
  </si>
  <si>
    <t>The two gymnastics currencies of the last two championships, in maintenance doses</t>
  </si>
  <si>
    <t>Quality only. If Friday class is shoulder-heavy, cut to 2 rounds.</t>
  </si>
  <si>
    <t>SAT</t>
  </si>
  <si>
    <t>Easy engine — 20–30:00 Z2 (bike/row/jog/walk Ora) + 10:00 mobility: couch stretch · banded lat · t-spine over roller</t>
  </si>
  <si>
    <t>Aerobic base deposit for Block 1's run progression and the qualifier engine</t>
  </si>
  <si>
    <t>Conversational pace. This is the easiest thing you'll do all week — keep it that way.</t>
  </si>
  <si>
    <t>SUN</t>
  </si>
  <si>
    <t>OFF — walk, beach, nothing</t>
  </si>
  <si>
    <t>Recovery is the program</t>
  </si>
  <si>
    <t>—</t>
  </si>
  <si>
    <t>WEEK</t>
  </si>
  <si>
    <t>DIAL (tiny progressions — everything else identical)</t>
  </si>
  <si>
    <t>CHECKPOINT</t>
  </si>
  <si>
    <t>R1</t>
  </si>
  <si>
    <t>Jun 9–14 (starts today)</t>
  </si>
  <si>
    <t>Establish the habit. Baseline doses above; note where everything sits.</t>
  </si>
  <si>
    <t>Texted/talked to a potential partner?</t>
  </si>
  <si>
    <t>R2</t>
  </si>
  <si>
    <t>Jun 15–21</t>
  </si>
  <si>
    <t>Hangs: accumulate 1:30 total Wed. SU: biggest set +10.</t>
  </si>
  <si>
    <t>R3</t>
  </si>
  <si>
    <t>Jun 22–28</t>
  </si>
  <si>
    <t>+1 round Mon shoulder circuit. Hangs: 2:00 total.</t>
  </si>
  <si>
    <t>Partner decided? Share this file — they enter their maxes.</t>
  </si>
  <si>
    <t>R4</t>
  </si>
  <si>
    <t>Jun 29–Jul 5</t>
  </si>
  <si>
    <t>C&amp;J Thursday: 2 singles per interval (still ≤70%). Hangs: 2:30.</t>
  </si>
  <si>
    <t>July 4 week — beach counts as Saturday Z2.</t>
  </si>
  <si>
    <t>R5</t>
  </si>
  <si>
    <t>Jul 6–12</t>
  </si>
  <si>
    <t>Hold everything. Hangs: 3:00 total. DUs: 2 x 35 smooth.</t>
  </si>
  <si>
    <t>Gear check: rope, grips, lifters all in good shape?</t>
  </si>
  <si>
    <t>R6</t>
  </si>
  <si>
    <t>Jul 13–19</t>
  </si>
  <si>
    <t>EASE OFF — half doses Mon–Wed, skip Thu barbell, Fri touch only, Sat easy.</t>
  </si>
  <si>
    <t>Arrive at Jul 20 bored and fresh. Week 1 tests everything.</t>
  </si>
  <si>
    <t>B1 BASE W1-5</t>
  </si>
  <si>
    <t>Goal: rebuild strict gymnastics capacity, run a full strength wave, pour the aerobic base, and bulletproof the shoulder (face pulls / table tops / dead hangs show up constantly on purpose — the rope-climb flare-ups from last cycle don't get a vote this year). Structure: Mon Lower A · Tue Upper A · Wed Engine · Fri Upper B · Sat Lower B + run.</t>
  </si>
  <si>
    <t>SESSION (layered on top of class unless noted)</t>
  </si>
  <si>
    <t>MAIN-LIFT LOADS (auto)</t>
  </si>
  <si>
    <t>RESULTS / FEEDBACK — log everything</t>
  </si>
  <si>
    <t>WEEK 1  ·  Jul 20–Jul 26  —  BASELINE WEEK — test everything, log everything</t>
  </si>
  <si>
    <t>Mon Jul 20</t>
  </si>
  <si>
    <t>LOWER A
Prep — 3 rounds: 16 goblet cossack squats (loaded heel flat) · 10 back ext off GHD · 8 reverse Nordics
BACK SQUAT: 1x2 @ 80% · 2x2 @ 82.5% · 2x1 @ 85% · 3x4 @ 65% (move the back-offs FAST)
+ 4 reactive DB jumps after each work set (recoil off the floor, be a bouncy ball)
3x8 Bulgarian split squats (DBs, add load weekly)
3x12 stiff-leg deadlift @ ~40–50% of DL 1RM (deep hamstring stretch)
3x20 kip swings (stiff midline — quality over shape size)
Week 1 mindset: this week sets every trend line for the next 6 months. RPE honesty &gt; heroics.</t>
  </si>
  <si>
    <t>Tue Jul 21</t>
  </si>
  <si>
    <t>UPPER A
Prep — 2 rounds: 15 banded straight-arm pull-downs · 10 table tops (:02 pause) · 1:00 banded lat stretch/side
BENCH PRESS: 1x2 @ 80% · 2x2 @ 82.5% · 2x1 @ 85% · 3x4 @ 65% (move the back-offs FAST)
PULL THREAD — TEST: 1 max set strict pull-ups (log on Benchmarks) · then E2MOM x4: 60% of that number
HS THREAD — TEST: 1 max set strict HSPU + 1 max set kipping HSPU + 4:00 max wall walks (rest 3:00 between tests — log on Benchmarks)
PRESS THREAD — EMOM 8: 8 Z press (hard-but-repeatable DB)
4 x (1 RIR) deficit pike push-ups, hands on DBs — record set sizes
4x12 straight-arm pull-downs
Midline: EMOM 6: 6 light GHD sit-ups (plate behind head)</t>
  </si>
  <si>
    <t>Wed Jul 22</t>
  </si>
  <si>
    <t>ENGINE — TEST DAY
2k ROW TEST (log on Benchmarks — this sets your qualifier row paces: 5k pace ≈ 2k split + :07–:08)
Then 15:00 easy spin/walk flush.
Shoulder durability: 3 rounds — 20 band face pulls · 15 banded external rotations/side · :30 dead hang</t>
  </si>
  <si>
    <t>Fri Jul 24</t>
  </si>
  <si>
    <t>UPPER B
Prep — 3 rounds: 8 SA upright rows · 8 SA DB push press (same DB) · 20 band face pulls (elbows wide)
STRICT PRESS: 1x2 @ 80% · 2x2 @ 82.5% · 2x1 @ 85% · 3x4 @ 65% (move the back-offs FAST)
4x8–12 DB incline bench (neutral grip, simulating rings)
3 rounds: 15 reverse flys · 10–15 ring skull crushers · 10–15 supinated ring rows (bully yourself)
2 rounds: 12 table tops (:02 pause) · :20 supinated dead hang</t>
  </si>
  <si>
    <t>Sat Jul 25</t>
  </si>
  <si>
    <t>LOWER B + ENGINE
Prep — 3 rounds: 15 banded ham curls · 8 ATG split squats (hold rig) · 5 pause front squats (warm-up loads)
FRONT SQUAT: 1x2 @ 80% · 2x2 @ 82.5% · 2x1 @ 85% · 3x4 @ 65% (move the back-offs FAST)
RUN TEST: 8:00 jog warm-up + 4 x 400m @ strong-but-repeatable / 2:00 walk. Record every split (Benchmarks).</t>
  </si>
  <si>
    <t>WEEK 2  ·  Jul 27–Aug 02  —  Build</t>
  </si>
  <si>
    <t>Mon Jul 27</t>
  </si>
  <si>
    <t>LOWER A
Prep — 3 rounds: 16 goblet cossack squats (loaded heel flat) · 10 back ext off GHD · 8 reverse Nordics
BACK SQUAT: 1x2 @ 82.5% · 2x2 @ 85% · 1x1 @ 87.5% · 1x1 @ 90% · 3x4 @ 67.5%
+ 4 reactive DB jumps after each work set (recoil off the floor, be a bouncy ball)
3x8 Bulgarian split squats (DBs, add load weekly)
3x12 stiff-leg deadlift @ ~40–50% of DL 1RM (deep hamstring stretch)
3x20 kip swings (stiff midline — quality over shape size)
REGISTER for the Coastal Qualifier this week — Novice Team (opens Aug 1). Make sure your partner registers too..</t>
  </si>
  <si>
    <t>Tue Jul 28</t>
  </si>
  <si>
    <t>UPPER A
Prep — 2 rounds: 15 banded straight-arm pull-downs · 10 table tops (:02 pause) · 1:00 banded lat stretch/side
BENCH PRESS: 1x2 @ 82.5% · 2x2 @ 85% · 1x1 @ 87.5% · 1x1 @ 90% · 3x4 @ 67.5%
PULL THREAD — E2MOM x5: strict pull-ups — pick a number you can hold all 5 sets
HS THREAD — Headstand practice 5 x challenging duration (pressure in palms vs fingers = your balance dial)
PRESS THREAD — EMOM 8: 8 Z press (hard-but-repeatable DB)
4 x (1 RIR) deficit pike push-ups, hands on DBs — record set sizes
4x12 straight-arm pull-downs
Midline: EMOM 6: 6 light GHD sit-ups (plate behind head)</t>
  </si>
  <si>
    <t>Wed Jul 29</t>
  </si>
  <si>
    <t>ENGINE
EMOM 30: odd = 15/12 cal machine (alternate bike/row) · even = rest
Hold the SAME pace all 15 work minutes — nasal breathing as long as you can. This is base, not a test.
Finisher: 300' backward sled drag, easy.</t>
  </si>
  <si>
    <t>Fri Jul 31</t>
  </si>
  <si>
    <t>UPPER B
Prep — 3 rounds: 8 SA upright rows · 8 SA DB push press (same DB) · 20 band face pulls (elbows wide)
STRICT PRESS: 1x2 @ 82.5% · 2x2 @ 85% · 1x1 @ 87.5% · 1x1 @ 90% · 3x4 @ 67.5%
4x8–12 DB incline bench (neutral grip, simulating rings)
3 rounds: 15 reverse flys · 10–15 ring skull crushers · 10–15 supinated ring rows (bully yourself)
2 rounds: 12 table tops (:02 pause) · :20 supinated dead hang</t>
  </si>
  <si>
    <t>Sat Aug 01</t>
  </si>
  <si>
    <t>LOWER B + ENGINE
Prep — 3 rounds: 15 banded ham curls · 8 ATG split squats (hold rig) · 5 pause front squats (warm-up loads)
FRONT SQUAT: 1x2 @ 82.5% · 2x2 @ 85% · 1x1 @ 87.5% · 1x1 @ 90% · 3x4 @ 67.5%
Run: 10:00 jog + 5 x 400m / 2:00 walk — each rep :03–:05 faster than last week's average.</t>
  </si>
  <si>
    <t>WEEK 3  ·  Aug 03–Aug 09  —  Heaviest base week</t>
  </si>
  <si>
    <t>Mon Aug 03</t>
  </si>
  <si>
    <t>LOWER A
Prep — 3 rounds: 16 goblet cossack squats (loaded heel flat) · 10 back ext off GHD · 8 reverse Nordics
BACK SQUAT: 2x2 @ 85% · 2x2 @ 87.5% · 1x1 @ 90% · 1x1 @ 92.5% · 3x4 @ 70%
+ 4 reactive DB jumps after each work set (recoil off the floor, be a bouncy ball)
3x8 Bulgarian split squats (DBs, add load weekly)
3x12 stiff-leg deadlift @ ~40–50% of DL 1RM (deep hamstring stretch)
3x20 kip swings (stiff midline — quality over shape size)</t>
  </si>
  <si>
    <t>Tue Aug 04</t>
  </si>
  <si>
    <t>UPPER A
Prep — 2 rounds: 15 banded straight-arm pull-downs · 10 table tops (:02 pause) · 1:00 banded lat stretch/side
BENCH PRESS: 2x2 @ 85% · 2x2 @ 87.5% · 1x1 @ 90% · 1x1 @ 92.5% · 3x4 @ 70%
PULL THREAD — E2MOM x6: strict pull-ups — same number as last week, one extra set
HS THREAD — EMOM 5: :20 wall-facing HS hold — PERFECT line: quads flexed, toes pointed, only toes touch wall
PRESS THREAD — EMOM 8: 8 Z press (hard-but-repeatable DB)
4 x (1 RIR) deficit pike push-ups, hands on DBs — record set sizes
4x12 straight-arm pull-downs
Midline: EMOM 6: 6 light GHD sit-ups (plate behind head)</t>
  </si>
  <si>
    <t>Wed Aug 05</t>
  </si>
  <si>
    <t>ENGINE
For time: 3k bike · 100 double-unders · 2k row · 100 double-unders · 1k run
Steady 80–85% — DUs in 2–3 sets max, relax the shoulders on the rope.</t>
  </si>
  <si>
    <t>Fri Aug 07</t>
  </si>
  <si>
    <t>UPPER B
Prep — 3 rounds: 8 SA upright rows · 8 SA DB push press (same DB) · 20 band face pulls (elbows wide)
STRICT PRESS: 2x2 @ 85% · 2x2 @ 87.5% · 1x1 @ 90% · 1x1 @ 92.5% · 3x4 @ 70%
4x8–12 DB incline bench (neutral grip, simulating rings)
3 rounds: 15 reverse flys · 10–15 ring skull crushers · 10–15 supinated ring rows (bully yourself)
2 rounds: 12 table tops (:02 pause) · :20 supinated dead hang</t>
  </si>
  <si>
    <t>Sat Aug 08</t>
  </si>
  <si>
    <t>LOWER B + ENGINE
Prep — 3 rounds: 15 banded ham curls · 8 ATG split squats (hold rig) · 5 pause front squats (warm-up loads)
FRONT SQUAT: 2x2 @ 85% · 2x2 @ 87.5% · 1x1 @ 90% · 1x1 @ 92.5% · 3x4 @ 70%
Run: 10:00 jog + 2 x 800m / 3:00 walk — record times, you're beating these in two weeks.</t>
  </si>
  <si>
    <t>WEEK 4  ·  Aug 10–Aug 16  —  DELOAD</t>
  </si>
  <si>
    <t>Mon Aug 10</t>
  </si>
  <si>
    <t>LOWER A
Prep — 3 rounds: 16 goblet cossack squats (loaded heel flat) · 10 back ext off GHD · 8 reverse Nordics
BACK SQUAT: DELOAD: 2x2 @ 87.5% · 4x3 @ 80% — same intensity feel, way less volume
+ 4 reactive DB jumps after each work set (recoil off the floor, be a bouncy ball)
2x8 Bulgarian split squats · 2x12 stiff-leg deadlift (same load) · 2x15 kip swings</t>
  </si>
  <si>
    <t>Tue Aug 11</t>
  </si>
  <si>
    <t>UPPER A
Prep — 2 rounds: 15 banded straight-arm pull-downs · 10 table tops (:02 pause) · 1:00 banded lat stretch/side
BENCH PRESS: DELOAD: 2x2 @ 87.5% · 4x3 @ 80% — same intensity feel, way less volume
PULL THREAD — E2MOM x5: strict pull-ups — one rep UNDER last week, every set (deload means deload)
HS THREAD — EMOM 4: :20 wall-facing HS hold (one set less)
PRESS THREAD — EMOM 6: 8 Z press (same DB)
3 x (1 RIR) deficit pike push-ups
3x15 straight-arm pull-downs
Midline: EMOM 6: 6 light GHD sit-ups (plate behind head)</t>
  </si>
  <si>
    <t>Wed Aug 12</t>
  </si>
  <si>
    <t>ENGINE — DELOAD
30–40:00 Z2 mix (bike/row/jog), conversational pace.
10:00 mobility flow: couch stretch · pigeon · banded lat stretch · t-spine over roller.</t>
  </si>
  <si>
    <t>Fri Aug 14</t>
  </si>
  <si>
    <t>UPPER B
Prep — 3 rounds: 8 SA upright rows · 8 SA DB push press (same DB) · 20 band face pulls (elbows wide)
STRICT PRESS: DELOAD: 2x2 @ 87.5% · 4x3 @ 80% — same intensity feel, way less volume
3x8–12 DB incline bench (same weight)
2 rounds: 15 reverse flys · 10 ring skull crushers · 10 supinated ring rows
2 rounds: 10 table tops · :20 dead hang</t>
  </si>
  <si>
    <t>Sat Aug 15</t>
  </si>
  <si>
    <t>LOWER B + ENGINE
Prep — 3 rounds: 15 banded ham curls · 8 ATG split squats (hold rig) · 5 pause front squats (warm-up loads)
FRONT SQUAT: DELOAD: 2x2 @ 87.5% · 4x3 @ 80% — same intensity feel, way less volume
DELOAD run: 20:00 easy jog + 4 x :15 strides. That's it. Walk Ora for the rest.</t>
  </si>
  <si>
    <t>WEEK 5  ·  Aug 17–Aug 23  —  Heavy-for-day singles</t>
  </si>
  <si>
    <t>Mon Aug 17</t>
  </si>
  <si>
    <t>LOWER A
Prep — 3 rounds: 16 goblet cossack squats (loaded heel flat) · 10 back ext off GHD · 8 reverse Nordics
BACK SQUAT: 1x1 heavy for the day (NOT a max — a crisp 9/10) · 3x3 @ 80% · 2x6 @ 72.5%
+ 4 reactive DB jumps after each work set (recoil off the floor, be a bouncy ball)
3x8 Bulgarian split squats (DBs, add load weekly)
3x12 stiff-leg deadlift @ ~40–50% of DL 1RM (deep hamstring stretch)
3x20 kip swings (stiff midline — quality over shape size)</t>
  </si>
  <si>
    <t>Tue Aug 18</t>
  </si>
  <si>
    <t>UPPER A
Prep — 2 rounds: 15 banded straight-arm pull-downs · 10 table tops (:02 pause) · 1:00 banded lat stretch/side
BENCH PRESS: 1x1 heavy for the day (NOT a max — a crisp 9/10) · 3x3 @ 80% · 2x6 @ 72.5%
PULL THREAD — E2MOM x5: strict pull-ups +5 lb if last week felt clean
HS THREAD — EMOM 5: :25 wall-facing HS hold
PRESS THREAD — EMOM 8: 8 Z press (hard-but-repeatable DB)
4 x (1 RIR) deficit pike push-ups, hands on DBs — record set sizes
4x12 straight-arm pull-downs
Midline: EMOM 6: 6 light GHD sit-ups (plate behind head)</t>
  </si>
  <si>
    <t>Wed Aug 19</t>
  </si>
  <si>
    <t>ENGINE
Every 2:30 x 12, alternating: 1) 30/24 cal bike  2) 150' backward sled drag  3) 30/24 cal row  4) 150' plate push
Grip + legs + lungs — the tank-push pattern starts here.</t>
  </si>
  <si>
    <t>Fri Aug 21</t>
  </si>
  <si>
    <t>UPPER B
Prep — 3 rounds: 8 SA upright rows · 8 SA DB push press (same DB) · 20 band face pulls (elbows wide)
STRICT PRESS: 1x1 heavy for the day (NOT a max — a crisp 9/10) · 3x3 @ 80% · 2x6 @ 72.5%
4x8–12 DB incline bench (neutral grip, simulating rings)
3 rounds: 15 reverse flys · 10–15 ring skull crushers · 10–15 supinated ring rows (bully yourself)
2 rounds: 12 table tops (:02 pause) · :20 supinated dead hang</t>
  </si>
  <si>
    <t>Sat Aug 22</t>
  </si>
  <si>
    <t>LOWER B + ENGINE
Prep — 3 rounds: 15 banded ham curls · 8 ATG split squats (hold rig) · 5 pause front squats (warm-up loads)
FRONT SQUAT: 1x1 heavy for the day (NOT a max — a crisp 9/10) · 3x3 @ 80% · 2x6 @ 72.5%
Run: 10:00 jog + 3 x 800m / 3:00 walk — beat Week 3's times.</t>
  </si>
  <si>
    <t>B2 BUILD W6-10</t>
  </si>
  <si>
    <t>Goal: convert base strength into competition currency — heavy-for-day singles, the wall-walk progression (Novice Event 6 currency, with optional kipping HSPU skill work), ring dips, TNG clean &amp; jerk cycling through the Novice ladder (95→185), and Saturday qualifier simulations (two are repeats of last year's Coastal Qualifier workouts so you get a direct fitness comparison). Friday strict press becomes push press — the comp movement. Week 10 is a real taper: trust it.</t>
  </si>
  <si>
    <t>WEEK 6  ·  Aug 24–Aug 30  —  Heavy singles + HSPU progression begins</t>
  </si>
  <si>
    <t>Mon Aug 24</t>
  </si>
  <si>
    <t>LOWER A
Prep — 3 rounds: 10 cossack squats · 5 BB good mornings + 5 BB back squat jumps
BACK SQUAT: 1x1 heavy for the day · 3x3 @ 82.5% · 2x7 @ 72.5%
4x8 box step-ups (start loading) · 4x12 weighted back ext · 4x15 prone banded ham curls</t>
  </si>
  <si>
    <t>Tue Aug 25</t>
  </si>
  <si>
    <t>UPPER A
Prep — 2 rounds: 12 Lu raises · 10 hand-release push-ups · 10 table tops (:02 pause)
BENCH PRESS: 1x1 heavy for the day · 3x3 @ 82.5% · 2x7 @ 72.5%
After every bench work set: 6 strict pull-ups, chest-high pull
WALL WALK PROGRESSION — E90s x 6: 2 wall walks + :03 hold at top, perfect line. Optional skill dev after: EMOM 4: 2–3 kipping HSPU (personal goal — not tested at Novice).
3x 10+12 drop-set lateral raises (10 heavy / rest :20 / 12 light, controlled)
3x12 weighted GHD sit-ups</t>
  </si>
  <si>
    <t>Wed Aug 26</t>
  </si>
  <si>
    <t>ENGINE + BARBELL CYCLING
A) E2MOM x 8: 3 TNG clean &amp; jerks, climbing 95 → 155 across the 8 sets. Smooth cycling, no press-outs — the Novice ladder runs 95→185, and the 2026 championship asked Novice teams for 30 reps @ 165 + a 4:00 AMRAP @ 185. This is the most predictable test at FOTC — treat it like rent.
B) 4 x 3:00 on / 3:00 off: 15/12 cal ski or bike + max alt DB snatches 50 in remaining time (comp bell is 35 — train heavy, compete light) (Event 4&amp;5 interval pattern). Score = total snatches.</t>
  </si>
  <si>
    <t>Fri Aug 28</t>
  </si>
  <si>
    <t>UPPER B
Prep — 3 rounds: 8 SA upright rows · 8 SA DB push press · 20 band face pulls
PUSH PRESS: E2MOM x5 — 5 reps climbing to a heavy 5
Ring dip EMOM 8 — pick a set size you can repeat all 8 minutes; record it (baseline)
E90s x5: 3 wall walks + :03 perfect hold at top
3 rounds: elevated-foot ring rows (beat last session) · 150' double-DB OH carry · 18 band pull-aparts</t>
  </si>
  <si>
    <t>Sat Aug 29</t>
  </si>
  <si>
    <t>CHAMPIONSHIP BARBELL SIM v1 — Hunley/Moose pattern, intro loads
30 clean &amp; jerks @ 115 (4:00 cap) → rest exactly 1:00 → 4:00 AMRAP clean &amp; jerks @ 135.
Record both + your cycling strategy (TNG sets vs fast singles). Progresses to 135/155 in W21 and FULL comp loads 165/185 in the W24 sim. FS first: FRONT SQUAT 3x3 @ 80%.</t>
  </si>
  <si>
    <t>WEEK 7  ·  Aug 31–Sep 06  —  Build</t>
  </si>
  <si>
    <t>Mon Aug 31</t>
  </si>
  <si>
    <t>LOWER A
Prep — 3 rounds: 10 cossack squats · 5 BB good mornings + 5 BB back squat jumps
BACK SQUAT: 1x1 heavy for the day · 3x3 @ 85% · 2x8 @ 72.5%
3x8 box step-ups (heavier) · 3x12 weighted back ext (+load) · 3x15 prone banded ham curls</t>
  </si>
  <si>
    <t>Tue Sep 01</t>
  </si>
  <si>
    <t>UPPER A
Prep — 2 rounds: 12 Lu raises · 10 hand-release push-ups · 10 table tops (:02 pause)
BENCH PRESS: 1x1 heavy for the day · 3x3 @ 85% · 2x8 @ 72.5%
After every bench work set: 6 strict pull-ups, chest-high pull
WALL WALK PROGRESSION — E90s x 6: 3 wall walks — smooth turnover, no dead time at the top. Optional: EMOM 4: 2 wall walks.
3x 10+12 drop-set lateral raises (10 heavy / rest :20 / 12 light, controlled)
3x12 weighted GHD sit-ups</t>
  </si>
  <si>
    <t>Wed Sep 02</t>
  </si>
  <si>
    <t>ENGINE + HS WALK
EMOM 24: 1) 20' HS walk (5' unbroken segments minimum) 2) 15/12 cal bike 3) 10 burpee box get-overs 4) rest.
HS walk under a working heart rate — exactly what Event 1 asks for.</t>
  </si>
  <si>
    <t>Fri Sep 04</t>
  </si>
  <si>
    <t>UPPER B
Prep — 3 rounds: 8 SA upright rows · 8 SA DB push press · 20 band face pulls
PUSH PRESS: 5/5/3/3/3 — climb to a heavy 3
+ E:30 x 12: 1 deadlift @ 75% (crisp singles, perfect spine)
Ring dip EMOM 8 — hold 4s across (or +1 from your baseline)
E90s x5: 3 wall walks + :03 perfect hold at top
3 rounds: elevated-foot ring rows (beat last session) · 150' double-DB OH carry · 18 band pull-aparts</t>
  </si>
  <si>
    <t>Sat Sep 05</t>
  </si>
  <si>
    <t>QUALIFIER SIM #2 — last year's Qualifier WK4 repeat
AMRAP 14: 15 knees-to-chest · 10 box jump overs 24 (step down) · 5 deadlifts 185 — the Novice version.
Direct comparison to last October's score — log the delta. FS first: FRONT SQUAT 1x1 heavy for day + 3x3 @ 80%.</t>
  </si>
  <si>
    <t>WEEK 8  ·  Sep 07–Sep 13  —  Max set of 4 + Labor Day</t>
  </si>
  <si>
    <t>Mon Sep 07</t>
  </si>
  <si>
    <t>LOWER A
Prep — 3 rounds: 10 cossack squats · 5 BB good mornings + 5 BB back squat jumps
BACK SQUAT: Build to a MAX SET OF 4 · then 4x3 @ 75% (speed)
3x8 box step-ups · 3x12 weighted back ext · 3x8 goblet cossacks (load the stretch)
LABOR DAY — if the gym's running Whitten, that replaces Wednesday's engine; squat still happens.</t>
  </si>
  <si>
    <t>Tue Sep 08</t>
  </si>
  <si>
    <t>UPPER A
Prep — 2 rounds: 12 Lu raises · 10 hand-release push-ups · 10 table tops (:02 pause)
BENCH PRESS: Build to a MAX SET OF 4 · then 4x3 @ 75% (speed)
After every bench work set: 4 weighted strict pull-ups (+10 lb)
WALL WALK PROGRESSION — E90s x 8: 3 wall walks — 24 total, every rep identical. Optional: EMOM 5: 3–4 kipping HSPU.
3x 10+12 drop-set lateral raises (10 heavy / rest :20 / 12 light, controlled)
3x12 weighted GHD sit-ups</t>
  </si>
  <si>
    <t>Wed Sep 09</t>
  </si>
  <si>
    <t>WHITTEN — Labor Day tradition
5 RFT: 22 KB swings 55 · 22 box jumps 24 · 400m run · 22 burpees · 22 wall balls 20
Pace round 1 like it's round 4. Compare to last year's time if you logged it.</t>
  </si>
  <si>
    <t>Fri Sep 11</t>
  </si>
  <si>
    <t>UPPER B
Prep — 3 rounds: 8 SA upright rows · 8 SA DB push press · 20 band face pulls
PUSH PRESS: 3/3/3/3/3 — heavy triple
+ E:30 x 12: 1 deadlift @ 80%
Ring dip EMOM 8 — +1 rep on at least 4 of the 8 sets
E90s x5: 4 wall walks, no holds — smooth turnover
3 rounds: elevated-foot ring rows (beat last session) · 150' double-DB OH carry · 18 band pull-aparts</t>
  </si>
  <si>
    <t>Sat Sep 12</t>
  </si>
  <si>
    <t>LOWER B + ENGINE
FRONT SQUAT: build to max set of 4 · then 3x3 @ 75%.
Then: 25:00 running clock — 2-4-6-8-10 thruster 75 + gymnastic complex (1 TTB + 1 pull-up) · 200m run after each round; max thrusters with remaining time.</t>
  </si>
  <si>
    <t>WEEK 9  ·  Sep 14–Sep 20  —  Last hard week</t>
  </si>
  <si>
    <t>Mon Sep 14</t>
  </si>
  <si>
    <t>LOWER A
Prep — 3 rounds: 10 cossack squats · 5 BB good mornings + 5 BB back squat jumps
BACK SQUAT: 1x1 heavy single · 4x4 @ 80%
3x6 double-DB Bulgarian split squats · 3x:30 back ext hold (5–10 lb) · 3x8 reverse Nordics</t>
  </si>
  <si>
    <t>Tue Sep 15</t>
  </si>
  <si>
    <t>UPPER A
Prep — 2 rounds: 12 Lu raises · 10 hand-release push-ups · 10 table tops (:02 pause)
BENCH PRESS: 1x1 heavy single · 4x4 @ 80%
After every bench work set: 4 weighted strict pull-ups (+10 lb)
WALL WALK PROGRESSION — EMOM 8: 2 wall walks FAST, then after full rest: 4:00 max wall walks (compare to W1 baseline — this is Event 6 currency).
2x12 lateral raises · 2x10 GHD sit-ups</t>
  </si>
  <si>
    <t>Wed Sep 16</t>
  </si>
  <si>
    <t>ENGINE + GRIP
For max cals: 20:00 on machine (alternate bike/row by feel); E2MOM hop off and do 150' farmers carry (heavy). Grip endurance pays the bills on TTB/pull-up workouts.</t>
  </si>
  <si>
    <t>Fri Sep 18</t>
  </si>
  <si>
    <t>UPPER B
Prep — 3 rounds: 8 SA upright rows · 8 SA DB push press · 20 band face pulls
PUSH PRESS: 3/3/1/1/1 — heavy single-ish (9/10, no misses)
+ E:30 x 10: 1 deadlift @ 80%
Ring dip EMOM 6 — hold last week's best number
E90s x5: 4 wall walks, no holds — smooth turnover
3 rounds: elevated-foot ring rows (beat last session) · 150' double-DB OH carry · 18 band pull-aparts</t>
  </si>
  <si>
    <t>Sat Sep 19</t>
  </si>
  <si>
    <t>QUALIFIER SIM #3 — last year's Qualifier WK5 repeat
3 rounds: 40 single-unders · 20 jumping pull-ups → 2 rounds: 60 SU · 15 jumping C2B → 1 round: 120 SU · 10 pull-ups. 12:00 cap — the Novice version.
Jumping pull-up CADENCE is a real score-mover at Novice — set bar/box height and rhythm BEFORE 3-2-1-go. FS first: FRONT SQUAT 4x4 @ 80%.</t>
  </si>
  <si>
    <t>WEEK 10  ·  Sep 21–Sep 27  —  QUALIFIER TAPER — volume −40%</t>
  </si>
  <si>
    <t>Mon Sep 21</t>
  </si>
  <si>
    <t>LOWER A
Prep — 3 rounds: 10 cossack squats · 5 BB good mornings + 5 BB back squat jumps
BACK SQUAT: TAPER: 2x2 @ 80% · 3x3 @ 70% — bar speed is the whole point
2x8 box step-ups (light) · 2x12 back ext (bodyweight) · mobility: 2:00 couch stretch/side</t>
  </si>
  <si>
    <t>Tue Sep 22</t>
  </si>
  <si>
    <t>UPPER A
Prep — 2 rounds: 12 Lu raises · 10 hand-release push-ups · 10 table tops (:02 pause)
BENCH PRESS: TAPER: 2x2 @ 80% · 3x3 @ 70% — bar speed is the whole point
After bench: 3x5 strict pull-ups, smooth
WALL WALK PROGRESSION — TAPER: EMOM 4: 2 crisp wall walks. Touch the skill, don't spend it.
2x12 lateral raises · 2x10 GHD sit-ups</t>
  </si>
  <si>
    <t>Wed Sep 23</t>
  </si>
  <si>
    <t>TAPER PRIMER
3 x 2:00 @ Open pace / 3:00 easy spin between. Then FULL DRESS REHEARSAL of the qualifier warm-up protocol (see B3 tab header) so Friday Oct 2 is automatic.
Logistics: confirm judge, camera angle + storage, Competition Corner login, scoresheet printed.</t>
  </si>
  <si>
    <t>Fri Sep 25</t>
  </si>
  <si>
    <t>UPPER B
Prep — 3 rounds: 8 SA upright rows · 8 SA DB push press · 20 band face pulls
PUSH PRESS: 3x3 @ moderate — bar speed only
Ring dip EMOM 4 — easy 3s, stay fresh
E90s x3: 2 wall walks, grease the pattern
3 rounds: elevated-foot ring rows (beat last session) · 150' double-DB OH carry · 18 band pull-aparts</t>
  </si>
  <si>
    <t>Sat Sep 26</t>
  </si>
  <si>
    <t>TAPER SATURDAY
20:00 easy Z2 + 3 short pickups (:30 @ Open pace).
10:00 mobility. Early night. Qualifier WK1 drops Thursday 7pm — you are ready; the hay is in the barn.</t>
  </si>
  <si>
    <t>B3 QUALIFIER W11-15</t>
  </si>
  <si>
    <t>THE COASTAL QUALIFIER — Oct 1–28. Rhythm every week: THU 7pm ET release (watch the live drop, write a pacing plan) → FRI attempt #1 (treat it as THE score) → SAT recovery → MON decide on a repeat (only if points actually move you — emotional repeats burn the week) → TUE repeat window or maintenance → WED rest + SUBMIT by 9pm ET on Competition Corner (logged in). One secret week carries TWO workouts — keep Tue/Wed flexible. TEAM NOTES: your team score is the SUM of both partners' scores — both register (Novice Team), both submit individually, and the weaker score moves the leaderboard exactly as much as the stronger one, so partner consistency &gt; solo heroics. You don't have to do the workout together, but syncing Friday attempts means you can judge and film each other. RECORD EVERY ATTEMPT — qualifiers get video requests after the qualifier ends.
WARM-UP PROTOCOL (adapt to each workout — this is the structure that worked last year): 2 rounds @ workout pace: 2:00 on the workout's machine @ race pace + 6–8 reps of each gymnastics/barbell movement at workout loads → relax 2–3:00, salt + water → 1 round ABOVE race pace: ~20 cal + 4 reps of the hardest movement → set a 6–8:00 timer, then GO. Lungs should be hot and you should be a little worried you did too much. You didn't.</t>
  </si>
  <si>
    <t>WEEK 11  ·  Sep 28–Oct 04  —  QUALIFIER WK1 — releases Thu Oct 1</t>
  </si>
  <si>
    <t>Mon Sep 28</t>
  </si>
  <si>
    <t>SHARPEN
BACK SQUAT 3x2 @ 80% (fast) · EMOM 6: alternating 2 wall walks / 5 pull-ups · 10:00 Z2 flush.</t>
  </si>
  <si>
    <t>Tue Sep 29</t>
  </si>
  <si>
    <t>SHARPEN
BENCH 3x2 @ 80% · 4:00 @ Open pace: 12 cal row + 6 burpees, repeat · done in 40:00 total.</t>
  </si>
  <si>
    <t>Wed Sep 30</t>
  </si>
  <si>
    <t>PRIME
15:00 easy spin + 3 x :30 pickups · full mobility flow · equipment check: rope, grips, tape, chalk, camera mount, charged battery.</t>
  </si>
  <si>
    <t>Thu Oct 01</t>
  </si>
  <si>
    <t>RELEASE NIGHT — Qualifier Workout 1 drops 7:00pm ET (live on YouTube).
Watch the standards video twice. Write the pacing plan: target splits, planned set breaks, transition setup. Lay out equipment tonight.
Morning: 20:00 Z2 + mobility only.</t>
  </si>
  <si>
    <t>Fri Oct 02</t>
  </si>
  <si>
    <t>QUALIFIER ATTEMPT #1
Full warm-up protocol (block header). Judge + camera rolling. Execute the plan — the first 20% of the workout should feel insultingly easy; that's correct pacing.
Log: score, splits, where it broke, RPE.</t>
  </si>
  <si>
    <t>Sat Oct 03</t>
  </si>
  <si>
    <t>RECOVERY
30–40:00 Z2 (bike/row/walk Ora) + 15:00 mobility.
Review attempt video once, note ONE fix, then put it away.</t>
  </si>
  <si>
    <t>WEEK 12  ·  Oct 05–Oct 11  —  QUALIFIER WK2</t>
  </si>
  <si>
    <t>Mon Oct 05</t>
  </si>
  <si>
    <t>LOWER MAINTENANCE + repeat decision
BACK SQUAT 4x3 @ 75% — crisp, fast, done in 20 minutes.
3x8 weighted back ext · 3x8 goblet cossacks.
Watch Friday's video: where did seconds leak? Repeat ONLY if a realistic improvement moves your leaderboard position.</t>
  </si>
  <si>
    <t>Tue Oct 06</t>
  </si>
  <si>
    <t>REPEAT WINDOW — or upper maintenance if the Friday score stands:
BENCH 4x4 @ 75% · EMOM 6: 3 wall walks (smooth) · 3x12 band face pulls · :30 x 2 dead hang.
If repeating: full warm-up protocol, execute the fix you identified Monday — don't freelance mid-workout.</t>
  </si>
  <si>
    <t>Wed Oct 07</t>
  </si>
  <si>
    <t>REST + SUBMIT
Score due 9:00pm ET tonight — submit on Competition Corner (make sure you're logged into YOUR profile), verify the video uploaded/saved, screenshot the confirmation.
10:00 easy mobility only. Eat. Sleep.</t>
  </si>
  <si>
    <t>Thu Oct 08</t>
  </si>
  <si>
    <t>RELEASE NIGHT — Qualifier Workout 2 drops 7:00pm ET (live on YouTube).
Watch the standards video twice. Write the pacing plan: target splits, planned set breaks, transition setup. Lay out equipment tonight.
Morning: 20:00 Z2 + mobility only.</t>
  </si>
  <si>
    <t>Fri Oct 09</t>
  </si>
  <si>
    <t>Sat Oct 10</t>
  </si>
  <si>
    <t>WEEK 13  ·  Oct 12–Oct 18  —  QUALIFIER WK3</t>
  </si>
  <si>
    <t>Mon Oct 12</t>
  </si>
  <si>
    <t>Tue Oct 13</t>
  </si>
  <si>
    <t>Wed Oct 14</t>
  </si>
  <si>
    <t>Thu Oct 15</t>
  </si>
  <si>
    <t>RELEASE NIGHT — Qualifier Workout 3 drops 7:00pm ET (live on YouTube).
Watch the standards video twice. Write the pacing plan: target splits, planned set breaks, transition setup. Lay out equipment tonight.
Morning: 20:00 Z2 + mobility only.</t>
  </si>
  <si>
    <t>Fri Oct 16</t>
  </si>
  <si>
    <t>Sat Oct 17</t>
  </si>
  <si>
    <t>WEEK 14  ·  Oct 19–Oct 25  —  QUALIFIER WK4</t>
  </si>
  <si>
    <t>Mon Oct 19</t>
  </si>
  <si>
    <t>Tue Oct 20</t>
  </si>
  <si>
    <t>Wed Oct 21</t>
  </si>
  <si>
    <t>Thu Oct 22</t>
  </si>
  <si>
    <t>RELEASE NIGHT — Qualifier Workout 4 drops 7:00pm ET (live on YouTube).
Watch the standards video twice. Write the pacing plan: target splits, planned set breaks, transition setup. Lay out equipment tonight.
Morning: 20:00 Z2 + mobility only.</t>
  </si>
  <si>
    <t>Fri Oct 23</t>
  </si>
  <si>
    <t>Sat Oct 24</t>
  </si>
  <si>
    <t>WEEK 15  ·  Oct 26–Nov 01  —  Final submission + transition</t>
  </si>
  <si>
    <t>Mon Oct 26</t>
  </si>
  <si>
    <t>Tue Oct 27</t>
  </si>
  <si>
    <t>REPEAT WINDOW — or upper maintenance if the Friday score stands:
BENCH 4x4 @ 75% · EMOM 6: 3 wall walks (smooth) · 3x12 band face pulls · :30 x 2 dead hang.
If repeating: full warm-up protocol, execute the fix you identified Monday — don't freelance mid-workout.
Last realistic repeat window of the qualifier.</t>
  </si>
  <si>
    <t>Wed Oct 28</t>
  </si>
  <si>
    <t>FINAL SUBMISSION — all scores locked 9:00pm ET tonight (Oct 28).
Save/back up every workout video — FOTC emails video requests to qualifiers. Then: done. Recovery mode.</t>
  </si>
  <si>
    <t>Thu Oct 29</t>
  </si>
  <si>
    <t>OFF. Sleep in. Eat real food. Walk.</t>
  </si>
  <si>
    <t>Fri Oct 30</t>
  </si>
  <si>
    <t>ACTIVE RECOVERY
40:00 Z2 + full-body mobility (30:00). Write the weakness list while the qualifier is fresh: which workouts cost you, which movement, which minute.</t>
  </si>
  <si>
    <t>Sat Oct 31</t>
  </si>
  <si>
    <t>FUN DAY
Class only, or something outside. The rebuild starts Monday — show up hungry.</t>
  </si>
  <si>
    <t>B4 REBUILD W16-20</t>
  </si>
  <si>
    <t>Goal: biggest strength block of the cycle + attack exactly what the qualifier exposed. Week 16 is a structured audit — retest the gymnastics maxes and log them on the Benchmarks tab, then weeks 17–18 push load while the Olympic-lift thread (snatch week → clean week) rebuilds positions for the Championship barbell. Week 19 = Thanksgiving deload. Week 20 = MAX TESTING WEEK — new 1RMs across the board, then UPDATE THE MAXES TAB so the championship block calculates off real numbers.</t>
  </si>
  <si>
    <t>WEEK 16  ·  Nov 02–Nov 08  —  Volume reset + WEAKNESS AUDIT</t>
  </si>
  <si>
    <t>Mon Nov 02</t>
  </si>
  <si>
    <t>LOWER A — volume reset
Prep — 3 rounds: 16 goblet cossacks · 10 back ext · 8 reverse Nordics
BACK SQUAT 5x5 @ 72.5% (every rep identical)
3x8 Bulgarian split squats · 3x12 stiff-leg DL · 3x15 banded ham curls</t>
  </si>
  <si>
    <t>Tue Nov 03</t>
  </si>
  <si>
    <t>UPPER A + GYMNASTICS AUDIT
BENCH 5x5 @ 72.5%
AUDIT (full rest between, log on Benchmarks W16 column):
· 1 max set kipping pull-ups
· 1 max set CTB
· max wall walks in 4:00
· 1 max set ring dips
3x12 band face pulls · 2x:30 dead hang</t>
  </si>
  <si>
    <t>Wed Nov 04</t>
  </si>
  <si>
    <t>OLY TECH + ENGINE
E90s x 12: sets 1–4 clean pull + hang clean (pause :02 in catch) · 5–8 power clean singles · 9–12 squat clean. Climb only while positions stay perfect.
Then 30:00 Z2.</t>
  </si>
  <si>
    <t>Fri Nov 06</t>
  </si>
  <si>
    <t>UPPER B
STRICT PRESS 5x5 @ 72.5%
Ring dip EMOM 8 (restart the thread at your audit number −1)
E90s x4: 3 wall walks + :03 hold
3 rounds: elevated-foot ring rows · 150' double-DB OH carry · 18 pull-aparts</t>
  </si>
  <si>
    <t>Sat Nov 07</t>
  </si>
  <si>
    <t>LOWER B + AUDIT
FRONT SQUAT 5x5 @ 72.5%
4:00 MAX WALL WALKS retest (Benchmarks) · then 5k row @ steady (compare pace to your W1 2k — should be ~2k split +:10–12)</t>
  </si>
  <si>
    <t>WEEK 17  ·  Nov 09–Nov 15  —  Build · snatch week · threshold engine</t>
  </si>
  <si>
    <t>Mon Nov 09</t>
  </si>
  <si>
    <t>LOWER A
BACK SQUAT 4x4 @ 77.5% · 1x3 @ 82.5%
4x8 box step-ups (loaded) · 4x12 weighted back ext · 4x15 prone banded ham curls</t>
  </si>
  <si>
    <t>Tue Nov 10</t>
  </si>
  <si>
    <t>UPPER A
BENCH 4x4 @ 77.5% · 1x3 @ 82.5% · after each work set: 4 weighted strict pull-ups (+10)
WEAKNESS SLOT #1 — 8–10:00 quality EMOM on the worst thing from the audit (e.g., wall walks: E90s x 8: 3; pull-up cycling: EMOM 8: 8–10)
3x 10+12 drop-set lateral raises · 3x12 weighted GHD</t>
  </si>
  <si>
    <t>Wed Nov 11</t>
  </si>
  <si>
    <t>OLY TECH + THRESHOLD
E90s x 12: sets 1–4 snatch pull + hang snatch · 5–8 power snatch singles · 9–12 squat snatch. Then E2MOM x 4: 6 OHS @ 50% of day's heavy.
Engine: 3 x 8:00 @ threshold (row/bike/ski rotate) / 3:00 easy.</t>
  </si>
  <si>
    <t>Fri Nov 13</t>
  </si>
  <si>
    <t>UPPER B
PUSH PRESS 5/5/3/3/3 to a heavy 3 · E:30 x 12: 1 deadlift @ 80%
Ring dip EMOM 8 (+1 over W16)
E90s x5: 4 wall walks no holds
3 rounds: ring rows · 150' DB OH carry · 18 pull-aparts</t>
  </si>
  <si>
    <t>Sat Nov 14</t>
  </si>
  <si>
    <t>LOWER B + CAPACITY
FRONT SQUAT 4x4 @ 77.5%
Metcon — AMRAP 14: 10 alt DB snatch 50 (comp bell is 35) · 10 burpee box jump-overs 24 · 15/12 cal machine. Negative split it: rounds 5+ faster than rounds 1–4.</t>
  </si>
  <si>
    <t>WEEK 18  ·  Nov 16–Nov 22  —  Heaviest rebuild week · clean week</t>
  </si>
  <si>
    <t>Mon Nov 16</t>
  </si>
  <si>
    <t>LOWER A
BACK SQUAT 4x3 @ 82.5% · 1x2 @ 87.5%
3x8 box step-ups (heaviest yet) · 3x12 weighted back ext · 3x8 reverse Nordics (plate behind head)</t>
  </si>
  <si>
    <t>Tue Nov 17</t>
  </si>
  <si>
    <t>UPPER A
BENCH 4x3 @ 82.5% · 1x2 @ 87.5% · after each work set: 4 weighted strict pull-ups (+15)
WEAKNESS SLOT #2 (same target as W17, +1 rep or +1 set)
3x12 lateral raises · 3x10 weighted GHD</t>
  </si>
  <si>
    <t>Wed Nov 18</t>
  </si>
  <si>
    <t>OLY TECH + GRIP ENGINE
E90s x 10: 1 clean + 1 front squat + 1 jerk, climbing to a heavy complex.
Then Coffland-style: accumulate 4:00 bar hang; every break = 400m run + 20 push-ups.</t>
  </si>
  <si>
    <t>Fri Nov 20</t>
  </si>
  <si>
    <t>UPPER B
PUSH PRESS 3/3/3/3/3 heavy triple · E:30 x 12: 1 deadlift @ 85%
Ring dip EMOM 8 (hold W17's best)
E90s x5: 4 wall walks
3 rounds: ring rows · 150' DB OH carry (one size up) · 18 pull-aparts</t>
  </si>
  <si>
    <t>Sat Nov 21</t>
  </si>
  <si>
    <t>LOWER B + CAPACITY
FRONT SQUAT 4x3 @ 82.5%
Metcon — 3 RFT: 400m run · 12 TTB (comp standard is knees-to-chest — train the harder one) · 9 thrusters 95 · 6 pull-ups. Smooth is fast.</t>
  </si>
  <si>
    <t>WEEK 19  ·  Nov 23–Nov 29  —  THANKSGIVING DELOAD — travel-friendly</t>
  </si>
  <si>
    <t>Mon Nov 23</t>
  </si>
  <si>
    <t>FULL-BODY DB (anywhere)
3 rounds easy: 10 DB RDL · 10 DB bench or push-ups · 10 goblet squats · 10 DB rows/arm · :30 plank. 25:00 cap, conversational.</t>
  </si>
  <si>
    <t>Tue Nov 24</t>
  </si>
  <si>
    <t>30:00 easy run or brisk Ora walk + 10:00 mobility.</t>
  </si>
  <si>
    <t>Wed Nov 25</t>
  </si>
  <si>
    <t>OFF — travel/prep day.</t>
  </si>
  <si>
    <t>Thu Nov 26</t>
  </si>
  <si>
    <t>THANKSGIVING — Whitten (5 RFT: 22 KBS · 22 box jumps · 400m run · 22 burpees · 22 wall balls) with whoever's around, or a local turkey trot. Then eat everything; you're testing maxes Monday and glycogen is your friend.</t>
  </si>
  <si>
    <t>Sat Nov 28</t>
  </si>
  <si>
    <t>20–30:00 Z2 + 3 x :15 strides + 5 light singles of squat/bench groove if equipment available. Prime, don't train.</t>
  </si>
  <si>
    <t>WEEK 20  ·  Nov 30–Dec 06  —  MAX TESTING WEEK — update the Maxes tab with every new number</t>
  </si>
  <si>
    <t>Mon Nov 30</t>
  </si>
  <si>
    <t>TEST — BACK SQUAT 1RM
Full warm-up ladder (bar x10, 50%x5, 65%x3, 75%x2, 85%x1, 92%x1, then attempts). 3 attempts max past 92%. Log on Benchmarks + UPDATE MAXES TAB.</t>
  </si>
  <si>
    <t>Tue Dec 01</t>
  </si>
  <si>
    <t>TEST — BENCH 1RM + max set strict pull-ups (fresh, after bench).
Same ladder structure. Spotter or safeties, no hero grinds — a 5 lb PR counts the same as a 15 lb miss doesn't.</t>
  </si>
  <si>
    <t>Wed Dec 02</t>
  </si>
  <si>
    <t>TEST — CLEAN &amp; JERK heavy single, then SNATCH heavy single (15:00 each).
These set the championship barbell percentages — update Maxes tab.</t>
  </si>
  <si>
    <t>Fri Dec 04</t>
  </si>
  <si>
    <t>TEST — STRICT PRESS 1RM + max set ring dips.
Then 3x5 @ 70% of the NEW max to groove it.</t>
  </si>
  <si>
    <t>Sat Dec 05</t>
  </si>
  <si>
    <t>TEST — FRONT SQUAT heavy single + 1-mile run retest (vs W1 400s — different test, same engine; log it).
Sunday fully off. Champ prep starts Monday on fresh numbers.</t>
  </si>
  <si>
    <t>B5 CHAMP PREP W21-24</t>
  </si>
  <si>
    <t>Goal: turn fitness into Championship performance. Every Friday/Saturday is built from the ACTUAL 2026 Novice team events — Fort Sumter, Hunley+Moose, JBC, D-Day — converted to solo: worm thrusters → light barbell · synchro/you-go-I-go → 1:1 work:rest · partner machine splits → alternating machines. Whenever a class partner is around, run the synchro versions for real: synchro timing is free points most teams throw away. Strength drops to two short maintenance touches per week off the NEW maxes. Christmas week is condensed on purpose. Week 24 ends with a full two-day competition simulation — warm-ups, food timing, between-event recovery, everything dress-rehearsed.</t>
  </si>
  <si>
    <t>WEEK 21  ·  Dec 07–Dec 13  —  Event patterns begin (off new maxes)</t>
  </si>
  <si>
    <t>Mon Dec 07</t>
  </si>
  <si>
    <t>STRENGTH TOUCH + TANK PUSH PATTERN
BACK SQUAT 3x3 @ 82.5% (new max)
6 x 120' HEAVY sled push / 2:00 rest — low and grinding, Event 1 legs.
3x8 weighted back ext · 3x8 goblet cossacks</t>
  </si>
  <si>
    <t>Tue Dec 08</t>
  </si>
  <si>
    <t>STRENGTH TOUCH + HSPU/WALL-WALK DENSITY
BENCH 3x3 @ 82.5% + 4 strict pull-ups after each set
E90s x 8, alternating: A) 6 CTB + 8 hanging leg raises  B) 3 wall walks. 2026 went hard on hanging gymnastics (JBC: 30 pull-ups → 15 CTB) but wall work has ruled past years — train both
3x12 face pulls · 2x:30 dead hang</t>
  </si>
  <si>
    <t>Wed Dec 09</t>
  </si>
  <si>
    <t>SKI/ROW INTERVALS — Event 4&amp;5 sim
4 x 3:00 on / 3:00 off: 200m run buy-in → max cal ski (or row).
Score = total cals; aim for &lt;2 cal fade across rounds.
Midline: 3 rounds — :40 hollow hold · 12 KB side bends/side</t>
  </si>
  <si>
    <t>Fri Dec 11</t>
  </si>
  <si>
    <t>EVENT 2 → EVENT 3 FULL SIM (the back-to-back)
HUNLEY + MOOSE SIM v2 (2026 format, build loads)
30 clean &amp; jerks @ 135 (4:00 cap) → rest exactly 1:00 → 4:00 AMRAP clean &amp; jerks @ 155.
Practice the plate change INSIDE the 1:00 rest — in 2026 you swapped your own plates (+2x25, −2x15). Log both scores + strategy. Full comp loads (165/185) hit in the W24 sim.</t>
  </si>
  <si>
    <t>Sat Dec 12</t>
  </si>
  <si>
    <t>FORT SUMTER SOLO + LEGACY CARRIES
2 RFT (8:00 cap): 75 single-unders · 10 box jump overs 24 (step down) · 10 hanging leg raises — the 2026 Saturday opener, solo-scaled. SU cadence and BJO rhythm ARE the score.
Then 4 rounds easy-strong: 120' sled push · 40' double-DB OH carry 2x50 (pushes/carries ruled prior years — don't let them surprise you).
Then 10:00 Z2 flush.</t>
  </si>
  <si>
    <t>WEEK 22  ·  Dec 14–Dec 20  —  Heavier sims + capacity</t>
  </si>
  <si>
    <t>Mon Dec 14</t>
  </si>
  <si>
    <t>STRENGTH TOUCH + LUNGE/JUMP
BACK SQUAT 2x3 @ 85%
E3MOM x 5: 8 front-rack walking lunges (135) + 6 box jumps (step down).
3x12 weighted back ext</t>
  </si>
  <si>
    <t>Tue Dec 15</t>
  </si>
  <si>
    <t>STRENGTH TOUCH + GYMNASTICS COMPLEX
BENCH 2x3 @ 85%
E90s x 6: 5 pull-ups + 3 CTB + 7 leg raises WITHOUT dropping off the bar (JBC closed with 15 CTB after 30 pull-ups and 40 DB deadlifts — grip complexes are the prep).
EMOM 6: 3 wall walks — repeatable 3s should feel boring now.</t>
  </si>
  <si>
    <t>Wed Dec 16</t>
  </si>
  <si>
    <t>D-DAY SOLO (2026 format)
4 x 3:00 AMRAP / :30 rest: 12/10 cal bike (alternate rower 16/13 by round) · 5 burpees over the bar · max thrusters 95 in remaining time.
Score = total thrusters. The 2026 tiebreak was ROUND-4 thrusters — build the pacing so round 4 is your biggest round. (Worm @ 120 split two ways ≈ a light, fast bar.)</t>
  </si>
  <si>
    <t>Fri Dec 18</t>
  </si>
  <si>
    <t>DEADLIFT + BOX JUMP CAPACITY (Qualifier WK4 pattern, heavier)
BACK-OFF BARBELL: E:30 x 10: 1 deadlift @ 80%
Then AMRAP 12: 12 hanging leg raises · 9 box jump overs 24 · 5 deadlifts 225 (qualifier pattern; 2026 championship moved deadlifts to double-DBs — JBC covers that Saturday).
Compare engine to W7's version of this.</t>
  </si>
  <si>
    <t>Sat Dec 19</t>
  </si>
  <si>
    <t>JBC SOLO (2026 format)
For time (12:00 cap): 200m run · 20 DB snatch 50 · 40 double-DB deadlifts 2x50 · 30 pull-ups → 200m run · 10 DB snatch · 10 single-DB deadlifts (heavy bell) · 8 CTB.
Grip is the entire event — plan your pull-up sets BEFORE the DB deadlifts trash your forearms. With a partner available: run it as written, you-go-I-go.</t>
  </si>
  <si>
    <t>WEEK 23  ·  Dec 21–Dec 27  —  CHRISTMAS — condensed, short and sharp</t>
  </si>
  <si>
    <t>Mon Dec 21</t>
  </si>
  <si>
    <t>FULL SESSION
BACK SQUAT 3x2 @ 85% · FRONT SQUAT 2x3 @ 75%
EMOM 8: 2 wall walks (fast, perfect)
3 rounds quick: 10 box step-ups · 12 back ext</t>
  </si>
  <si>
    <t>Tue Dec 22</t>
  </si>
  <si>
    <t>SPRINT TOUCH
3 x 4:00 on / 4:00 off: 15/12 cal machine · 10 thrusters 95 · max DU in remaining time.</t>
  </si>
  <si>
    <t>Wed Dec 23</t>
  </si>
  <si>
    <t>OFF — or 30:00 walk. It's Christmas week; recovery is training.</t>
  </si>
  <si>
    <t>Sat Dec 26</t>
  </si>
  <si>
    <t>POST-CHRISTMAS FLUSH + SKILL
30:00 Z2 · then quality only: 5 x 3 wall walks · E90s x 4: 4 CTB + 6 pull-ups.
Eyes on next week: 2-day sim Sat Jan 2 / Sun Jan 3.</t>
  </si>
  <si>
    <t>WEEK 24  ·  Dec 28–Jan 03  —  FULL 2-DAY COMPETITION SIMULATION (Sat Jan 2 + Sun Jan 3)</t>
  </si>
  <si>
    <t>Mon Dec 28</t>
  </si>
  <si>
    <t>PRIMER
BACK SQUAT 3x2 @ 80% fast · EMOM 6: alternating 4 kipping HSPU / 4 C2B · 10:00 Z2.</t>
  </si>
  <si>
    <t>Tue Dec 29</t>
  </si>
  <si>
    <t>PRIMER
BENCH 3x2 @ 80% · E2MOM x 5: 2 TNG C&amp;J @ 70% · 8:00 easy machine.</t>
  </si>
  <si>
    <t>Wed Dec 30</t>
  </si>
  <si>
    <t>REST. Write the sim schedule like a real event: event times, warm-up start times, food between events (liquid carbs + easy protein), layout gear.</t>
  </si>
  <si>
    <t>Fri Jan 01</t>
  </si>
  <si>
    <t>REST / mobility 15:00. Carb up tonight — treat Saturday like competition day 1.</t>
  </si>
  <si>
    <t>Sat Jan 02</t>
  </si>
  <si>
    <t>SIM DAY 1 — mirrors the 2026 team SATURDAY. Start ~1pm to rehearse the real clock (teams go Sat afternoon). Full warm-up protocol each, ~90:00 between:
E1: FORT SUMTER solo — 2 RFT: 75 single-unders · 10 BJO 24 · 10 leg raises (8:00 cap)
E2: HUNLEY + MOOSE @ FULL COMP LOADS — 30 C&amp;J @ 165 (4:00 cap) → 1:00 rest, change your own plates → 4:00 AMRAP @ 185
Log scores AND how warm-ups, food, and the afternoon start felt — that's the real data.</t>
  </si>
  <si>
    <t>Sun Jan 03</t>
  </si>
  <si>
    <t>SIM DAY 2 — mirrors the 2026 team SUNDAY, on day-2 legs:
E3: JBC solo — 200m run · 20 DB snatch 50 · 40 dbl-DB deadlifts · 30 pull-ups → 200m run · 10 DB snatch · 10 single-DB DL · 8 CTB (12:00 cap)
E4: D-DAY solo — 4 x 3:00/:30 — 12/10 cal machine · 5 burpees over bar · max thrusters 95. Round 4 is the tiebreak — finish biggest.
Then: full recovery week protocol begins — this is the last hard thing before Charleston.</t>
  </si>
  <si>
    <t>B6 PEAK W25-26</t>
  </si>
  <si>
    <t>Goal: arrive in Charleston sharp, full, and bored of resting. Volume −50%+, intensity stays in short crisp touches, nothing new — no new movements, foods, shoes, or sleep schedules. Championship: Jan 15–17, Charleston Convention Center; TEAMS compete Saturday afternoon into Sunday (Jan 16–17). Drive from Raleigh ≈ 4.5 hours.</t>
  </si>
  <si>
    <t>WEEK 25  ·  Jan 04–Jan 10  —  Sharpen — volume −50%</t>
  </si>
  <si>
    <t>Mon Jan 04</t>
  </si>
  <si>
    <t>PRIMER A
BACK SQUAT 2x2 @ 80% (crisp) · 6:00 @ Open pace: 10 cal machine + 5 burpees, repeat · done.</t>
  </si>
  <si>
    <t>Tue Jan 05</t>
  </si>
  <si>
    <t>GYMNASTICS QUALITY
E90s x 6: 3 wall walks, perfect · EMOM 4: 5 crisp CTB · 2 x 75 unbroken single-unders.
All of it should feel easy. That's the point.</t>
  </si>
  <si>
    <t>Wed Jan 06</t>
  </si>
  <si>
    <t>30:00 Z2 + 15:00 mobility. Sleep 8+. Eat at maintenance — do not cut food during taper.</t>
  </si>
  <si>
    <t>Fri Jan 08</t>
  </si>
  <si>
    <t>PRIMER B
Full competition warm-up rehearsal → one 4:00 sprint piece: 12 cal row · 9 thrusters 75 · 6 pull-ups, repeat. Then 2 heavy-ish C&amp;J singles @ 80%, crisp.</t>
  </si>
  <si>
    <t>Sat Jan 09</t>
  </si>
  <si>
    <t>20:00 easy + 4 x :15 strides + skill drills (DU, HS walk 2 x 20').
Start the packing list: grips, tape, rope, lifters, metcons, salt, snacks, foam roller, charger, ID.</t>
  </si>
  <si>
    <t>WEEK 26  ·  Jan 11–Jan 17  —  COMPETE — FOTC Championship, Jan 15–17</t>
  </si>
  <si>
    <t>Mon Jan 11</t>
  </si>
  <si>
    <t>LIGHT PRIMER
3x2 back squat @ 70% · EMOM 4: 2 wall walks · 8:00 easy spin.</t>
  </si>
  <si>
    <t>Tue Jan 12</t>
  </si>
  <si>
    <t>SHARPENER
3 x 1:30 on / 1:30 off @ event pace (machine + one gymnastics movement). Heart rate up, then shut it down. Review event announcements; build warm-up plans per event.</t>
  </si>
  <si>
    <t>Wed Jan 13</t>
  </si>
  <si>
    <t>30:00 Z2 + 15:00 mobility. Final packing-list check with your partner — duplicate nothing, forget nothing (grips, tape, rope, lifters, salt, snacks, chargers).</t>
  </si>
  <si>
    <t>Thu Jan 14</t>
  </si>
  <si>
    <t>REST — off feet, hydrate + salt, carbs up. Review Saturday event standards with your partner; agree on synchro timing cues and who counts reps.</t>
  </si>
  <si>
    <t>Fri Jan 15</t>
  </si>
  <si>
    <t>TRAVEL DAY — Raleigh → Charleston (~4.5h). Check in if the window's open, walk the floor, then 15–20:00 shakeout: easy machine + light touches of Saturday's movements. Early dinner, off feet.</t>
  </si>
  <si>
    <t>Sat Jan 16</t>
  </si>
  <si>
    <t>COMPETE — DAY 1 (teams start ~afternoon; in 2026 this was FORT SUMTER and HUNLEY+MOOSE)
Morning: sleep in, eat normal breakfast, easy 10:00 walk. Warm-up clock starts 35:00 before each heat.
Between events: 10:00 easy spin flush · liquid carbs + 30–40g protein · feet up.
First 20% of every event insultingly easy. Trust 26 weeks.</t>
  </si>
  <si>
    <t>Sun Jan 17</t>
  </si>
  <si>
    <t>COMPETE — DAY 2 (in 2026 this was JBC and D-DAY)
Same protocol on day-2 legs. If D-Day-style intervals close the weekend, remember: the tiebreak lives in the LAST round — finish biggest.
Empty the tank on the closer; there's nothing after this. Then: Charleston dinner. You earned it.</t>
  </si>
  <si>
    <t>BENCHMARK TRACKER — retest at the weeks marked; log results here</t>
  </si>
  <si>
    <t>TEST</t>
  </si>
  <si>
    <t>W1 Baseline</t>
  </si>
  <si>
    <t>W16 Post-Qual Audit</t>
  </si>
  <si>
    <t>W20 Max Week</t>
  </si>
  <si>
    <t>W25 Final Check</t>
  </si>
  <si>
    <t>GOAL (Champ)</t>
  </si>
  <si>
    <t>Back Squat 1RM</t>
  </si>
  <si>
    <t>295+</t>
  </si>
  <si>
    <t>Bench Press 1RM</t>
  </si>
  <si>
    <t>205+</t>
  </si>
  <si>
    <t>Strict Press 1RM</t>
  </si>
  <si>
    <t>145+</t>
  </si>
  <si>
    <t>Front Squat 1RM</t>
  </si>
  <si>
    <t>240+</t>
  </si>
  <si>
    <t>Clean &amp; Jerk 1RM</t>
  </si>
  <si>
    <t>205+ (Novice ladder tops at 185 — own it)</t>
  </si>
  <si>
    <t>Snatch 1RM</t>
  </si>
  <si>
    <t>165+</t>
  </si>
  <si>
    <t>Max set strict pull-ups</t>
  </si>
  <si>
    <t>12+</t>
  </si>
  <si>
    <t>Max set strict HSPU</t>
  </si>
  <si>
    <t>5+</t>
  </si>
  <si>
    <t>Max set kipping HSPU</t>
  </si>
  <si>
    <t>8+ (personal goal — not tested at Novice)</t>
  </si>
  <si>
    <t>Max set ring dips</t>
  </si>
  <si>
    <t>10+</t>
  </si>
  <si>
    <t>Max wall walks in 4:00</t>
  </si>
  <si>
    <t>16+ (Event 6 currency)</t>
  </si>
  <si>
    <t>Max set kipping pull-ups</t>
  </si>
  <si>
    <t>20+</t>
  </si>
  <si>
    <t>2k row</t>
  </si>
  <si>
    <t>Sub 7:20</t>
  </si>
  <si>
    <t>4x400m avg</t>
  </si>
  <si>
    <t>40' double-DB OH carry 2x50</t>
  </si>
  <si>
    <t>Unbroken, every time</t>
  </si>
  <si>
    <t>Hunley: 30 C&amp;J @ 165 for time</t>
  </si>
  <si>
    <t>Sub 3:30 (cap was 4:00)</t>
  </si>
  <si>
    <t>Moose: 4:00 max C&amp;J @ 185</t>
  </si>
  <si>
    <t>12+ reps</t>
  </si>
  <si>
    <t>Max set CTB pull-ups</t>
  </si>
  <si>
    <t>FOTC EVENT HISTORY — programming DNA across seasons</t>
  </si>
  <si>
    <t>Prior-year events come from your prep workbook (Int/Novice EVENTS sheet); 2026 team events are the actual NOVICE versions from the Feb 2026 championship (confirmed) — note how far the Novice barbell and gymnastics moved year over year. 2027 plan: NOVICE TEAM.</t>
  </si>
  <si>
    <t>SEASON / EVENT</t>
  </si>
  <si>
    <t>WORKOUT</t>
  </si>
  <si>
    <t>TEST / PATTERN</t>
  </si>
  <si>
    <t>2027 PREP IMPLICATION</t>
  </si>
  <si>
    <t>PRIOR YEAR · Event 1</t>
  </si>
  <si>
    <t>120' tank push · dual OH carry 2x50 (Nov) / HS walk (Int) · 80 synchro mixed-object DL · repeat. 8:00 cap</t>
  </si>
  <si>
    <t>Heavy push + carries + hinge under fatigue</t>
  </si>
  <si>
    <t>Sled push intervals + unbroken OH carries (B5 Sat sessions)</t>
  </si>
  <si>
    <t>PRIOR YEAR · Event 2</t>
  </si>
  <si>
    <t>Thrusters + pull-ups sprint (Nov 15-10-5 @ 75; Int 30-30 @ 85). 6:00 cap, rolls into Event 3 at 7:00</t>
  </si>
  <si>
    <t>Light-bar sprint couplet, back-to-back format</t>
  </si>
  <si>
    <t>W21/W24 Event 2→3 sims — unchanged, still core</t>
  </si>
  <si>
    <t>PRIOR YEAR · Event 3</t>
  </si>
  <si>
    <t>3:00 max clean &amp; jerks (Nov 135/95; Int 185/125)</t>
  </si>
  <si>
    <t>Fatigued barbell cycling at fixed load</t>
  </si>
  <si>
    <t>3:00 C&amp;J benchmark — see load trend below</t>
  </si>
  <si>
    <t>PRIOR YEAR · Events 4&amp;5</t>
  </si>
  <si>
    <t>4 x 3:00 intervals: run buy-in → max cal ski → AMRAP (leg raises + dual-DB hang squat cleans @ Nov)</t>
  </si>
  <si>
    <t>Machine sprint repeats + light DB/midline AMRAP, two scores from one event</t>
  </si>
  <si>
    <t>W21 Wed + W24 E2 sims — unchanged</t>
  </si>
  <si>
    <t>PRIOR YEAR · Event 6</t>
  </si>
  <si>
    <t>Worm C&amp;J · synchro burpees over worm · worm lunges · wall walks 10/7/5 (Nov) / HSPU (Int). 12:00 cap</t>
  </si>
  <si>
    <t>Worm + descending wall-walk tax</t>
  </si>
  <si>
    <t>Wall-walk capacity thread (kept, but see 2026 shift)</t>
  </si>
  <si>
    <t>2026 · FORT SUMTER (Sat)</t>
  </si>
  <si>
    <t>2 RFT: 75 single-unders (you-go-I-go) · 20 synchro box jump overs 24/20 · 20 synchro leg raises. 8:00 cap</t>
  </si>
  <si>
    <t>Jump rope cadence + box jump overs + hanging midline — low skill, pure cycling speed</t>
  </si>
  <si>
    <t>SU cadence, BJO step-down rhythm, leg-raise capacity — already in B2/B5; emphasis confirmed</t>
  </si>
  <si>
    <t>2026 · THE HUNLEY (Sat)</t>
  </si>
  <si>
    <t>For time: 30 clean &amp; jerks @ 165/105. 4:00 cap → 1:00 rest →</t>
  </si>
  <si>
    <t>Volume C&amp;J at moderate-heavy load against a tight cap</t>
  </si>
  <si>
    <t>TNG/quick-singles cycling @ ~80% of comp ladder — add 30-rep C&amp;J test</t>
  </si>
  <si>
    <t>2026 · THE MOOSE</t>
  </si>
  <si>
    <t>4:00 AMRAP: max clean &amp; jerks @ 185/125 (plates changed on the floor: +2x25, −2x15 for men)</t>
  </si>
  <si>
    <t>Heavier barbell immediately after volume barbell + a plate-change transition</t>
  </si>
  <si>
    <t>185 under fatigue is now table stakes — the 3:00 @ 135 benchmark gets a companion @ 165–185</t>
  </si>
  <si>
    <t>2026 · D-DAY (Sun)</t>
  </si>
  <si>
    <t>4 x 3:00 AMRAP / :30 rest: 15/12 cal bike (A) + 20/16 cal row (B) + 10 synchro burpees over worm + max worm thrusters @ 120. Score = total thrusters; tiebreak = round-4 thrusters</t>
  </si>
  <si>
    <t>Interval format kept from prior year, worm kept, but worm THRUSTERS + dual machines; round 4 decides ties</t>
  </si>
  <si>
    <t>Machine sprint → light thruster cycling under leg fatigue; negative-split discipline (round 4 matters most)</t>
  </si>
  <si>
    <t>2026 · JBC (Sun)</t>
  </si>
  <si>
    <t>For time: 200m run · 20 DB snatch 50/35 · 40 double-DB DL 50/35 · 30 pull-ups (each partner) → 200m run both · 20 synchro DB snatch · 20 synchro single-DB DL · 15 CTB. 12:00 cap</t>
  </si>
  <si>
    <t>Run + DB volume + BIG pull-up sets, finishing with CTB — grip is the event</t>
  </si>
  <si>
    <t>Pull-up/CTB volume under DB-grip fatigue — weakness-slot candidate; 50-lb DB work stays in the program on purpose</t>
  </si>
  <si>
    <t>PATTERN · Barbell</t>
  </si>
  <si>
    <t>C&amp;J appears every season as a dedicated event; load trend is UP (3:00 @ fixed bar → 30 reps @ 165 + AMRAP @ 185 with a plate change)</t>
  </si>
  <si>
    <t>C&amp;J cycling capacity is the most predictable test at FOTC</t>
  </si>
  <si>
    <t>Ladder work to 185 is now mandatory, not insurance — 2026 NOVICE teams hit 30 @ 165 + AMRAP @ 185. Benchmarks updated (Hunley/Moose tests)</t>
  </si>
  <si>
    <t>PATTERN · Worm/odd object</t>
  </si>
  <si>
    <t>Worm every season; movement changed (C&amp;J/lunges → thrusters) but the implement didn't</t>
  </si>
  <si>
    <t>Expect the worm (team) / odd object (individual) in some form</t>
  </si>
  <si>
    <t>Sandbag/axle conversions in B5 stay</t>
  </si>
  <si>
    <t>PATTERN · Intervals</t>
  </si>
  <si>
    <t>3:00 interval format with machine calories repeated both seasons, tiebreaks reward the LAST round</t>
  </si>
  <si>
    <t>Repeat-sprint engine with no fade is a guaranteed scored skill</t>
  </si>
  <si>
    <t>B5 interval sims unchanged; pacing cue: round 4 is the round</t>
  </si>
  <si>
    <t>PATTERN · Gymnastics</t>
  </si>
  <si>
    <t>Wall walks/HSPU heavy in prior year → 2026 team shifted to leg raises, pull-ups, CTB; jump rope stayed (SU at Novice)</t>
  </si>
  <si>
    <t>Hanging gymnastics + grip displacing wall-based gymnastics (at least for teams)</t>
  </si>
  <si>
    <t>Rebalanced: pull-up/CTB/leg-raise volume promoted in B4/B5; wall walks kept as a secondary thread — 2026 Novice teams saw 30-rep pull-up sets and CTB</t>
  </si>
  <si>
    <t>PATTERN · Individual-only</t>
  </si>
  <si>
    <t>2026 individuals opened with an offsite TRAIL RUN at Wannamaker County Park (Fri AM)</t>
  </si>
  <si>
    <t>Individuals get a real running event teams don't</t>
  </si>
  <si>
    <t>Individuals-only — going TEAM in 2027, so no trail-run event. Run volume stays as engine work, not event prep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</si>
</sst>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4.0"/>
      <color rgb="FF1F3A5F"/>
      <name val="Arial"/>
    </font>
    <font>
      <sz val="11.0"/>
      <color theme="1"/>
      <name val="Calibri"/>
    </font>
    <font>
      <i/>
      <sz val="10.0"/>
      <color theme="1"/>
      <name val="Arial"/>
    </font>
    <font>
      <b/>
      <sz val="10.0"/>
      <color rgb="FFFFFFFF"/>
      <name val="Arial"/>
    </font>
    <font>
      <sz val="10.0"/>
      <color theme="1"/>
      <name val="Arial"/>
    </font>
    <font>
      <b/>
      <sz val="10.0"/>
      <color rgb="FF0000FF"/>
      <name val="Arial"/>
    </font>
    <font>
      <i/>
      <sz val="9.0"/>
      <color rgb="FF7F7F7F"/>
      <name val="Arial"/>
    </font>
    <font>
      <b/>
      <i/>
      <sz val="10.0"/>
      <color theme="1"/>
      <name val="Arial"/>
    </font>
    <font>
      <b/>
      <sz val="9.0"/>
      <color theme="1"/>
      <name val="Arial"/>
    </font>
    <font>
      <b/>
      <sz val="13.0"/>
      <color rgb="FF1F3A5F"/>
      <name val="Arial"/>
    </font>
    <font>
      <b/>
      <sz val="10.0"/>
      <color rgb="FF000000"/>
      <name val="Arial"/>
    </font>
    <font>
      <sz val="10.0"/>
      <color rgb="FF000000"/>
      <name val="Arial"/>
    </font>
    <font>
      <b/>
      <sz val="10.0"/>
      <color theme="1"/>
      <name val="Arial"/>
    </font>
    <font/>
    <font>
      <b/>
      <sz val="12.0"/>
      <color rgb="FF1F3A5F"/>
      <name val="Arial"/>
    </font>
  </fonts>
  <fills count="9">
    <fill>
      <patternFill patternType="none"/>
    </fill>
    <fill>
      <patternFill patternType="lightGray"/>
    </fill>
    <fill>
      <patternFill patternType="solid">
        <fgColor rgb="FF1F3A5F"/>
        <bgColor rgb="FF1F3A5F"/>
      </patternFill>
    </fill>
    <fill>
      <patternFill patternType="solid">
        <fgColor rgb="FFEFEFEF"/>
        <bgColor rgb="FFEFEFEF"/>
      </patternFill>
    </fill>
    <fill>
      <patternFill patternType="solid">
        <fgColor rgb="FFE2F4F8"/>
        <bgColor rgb="FFE2F4F8"/>
      </patternFill>
    </fill>
    <fill>
      <patternFill patternType="solid">
        <fgColor rgb="FFFFFF00"/>
        <bgColor rgb="FFFFFF00"/>
      </patternFill>
    </fill>
    <fill>
      <patternFill patternType="solid">
        <fgColor rgb="FFF2F2F2"/>
        <bgColor rgb="FFF2F2F2"/>
      </patternFill>
    </fill>
    <fill>
      <patternFill patternType="solid">
        <fgColor rgb="FFDDEBF2"/>
        <bgColor rgb="FFDDEBF2"/>
      </patternFill>
    </fill>
    <fill>
      <patternFill patternType="solid">
        <fgColor rgb="FFFFFDF5"/>
        <bgColor rgb="FFFFFDF5"/>
      </patternFill>
    </fill>
  </fills>
  <borders count="6">
    <border/>
    <border>
      <left/>
      <right/>
      <top/>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1" fillId="2" fontId="4" numFmtId="0" xfId="0" applyAlignment="1" applyBorder="1" applyFill="1" applyFont="1">
      <alignment shrinkToFit="0" vertical="bottom" wrapText="0"/>
    </xf>
    <xf borderId="2" fillId="0" fontId="5" numFmtId="0" xfId="0" applyAlignment="1" applyBorder="1" applyFont="1">
      <alignment shrinkToFit="0" vertical="top" wrapText="1"/>
    </xf>
    <xf borderId="2" fillId="3" fontId="5" numFmtId="0" xfId="0" applyAlignment="1" applyBorder="1" applyFill="1" applyFont="1">
      <alignment shrinkToFit="0" vertical="top" wrapText="1"/>
    </xf>
    <xf borderId="2" fillId="4" fontId="5" numFmtId="0" xfId="0" applyAlignment="1" applyBorder="1" applyFill="1" applyFont="1">
      <alignment shrinkToFit="0" vertical="top" wrapText="1"/>
    </xf>
    <xf borderId="0" fillId="0" fontId="6" numFmtId="0" xfId="0" applyAlignment="1" applyFont="1">
      <alignment shrinkToFit="0" vertical="bottom" wrapText="0"/>
    </xf>
    <xf borderId="1" fillId="5" fontId="6" numFmtId="0" xfId="0" applyAlignment="1" applyBorder="1" applyFill="1" applyFont="1">
      <alignment shrinkToFit="0" vertical="bottom" wrapText="0"/>
    </xf>
    <xf borderId="1" fillId="5" fontId="6" numFmtId="0" xfId="0" applyAlignment="1" applyBorder="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1" fillId="6" fontId="9" numFmtId="0" xfId="0" applyAlignment="1" applyBorder="1" applyFill="1" applyFont="1">
      <alignment shrinkToFit="0" vertical="bottom" wrapText="0"/>
    </xf>
    <xf borderId="0" fillId="0" fontId="2" numFmtId="164" xfId="0" applyAlignment="1" applyFont="1" applyNumberFormat="1">
      <alignment shrinkToFit="0" vertical="bottom" wrapText="0"/>
    </xf>
    <xf borderId="0" fillId="0" fontId="10" numFmtId="0" xfId="0" applyAlignment="1" applyFont="1">
      <alignment shrinkToFit="0" vertical="bottom" wrapText="0"/>
    </xf>
    <xf borderId="2" fillId="2" fontId="4" numFmtId="0" xfId="0" applyAlignment="1" applyBorder="1" applyFont="1">
      <alignment shrinkToFit="0" vertical="top" wrapText="1"/>
    </xf>
    <xf borderId="2" fillId="0" fontId="11" numFmtId="0" xfId="0" applyAlignment="1" applyBorder="1" applyFont="1">
      <alignment shrinkToFit="0" vertical="top" wrapText="1"/>
    </xf>
    <xf borderId="2" fillId="0" fontId="12" numFmtId="0" xfId="0" applyAlignment="1" applyBorder="1" applyFont="1">
      <alignment shrinkToFit="0" vertical="top" wrapText="1"/>
    </xf>
    <xf borderId="2" fillId="6" fontId="11" numFmtId="0" xfId="0" applyAlignment="1" applyBorder="1" applyFont="1">
      <alignment shrinkToFit="0" vertical="top" wrapText="1"/>
    </xf>
    <xf borderId="2" fillId="6" fontId="12" numFmtId="0" xfId="0" applyAlignment="1" applyBorder="1" applyFont="1">
      <alignment shrinkToFit="0" vertical="top" wrapText="1"/>
    </xf>
    <xf borderId="3" fillId="7" fontId="13" numFmtId="0" xfId="0" applyAlignment="1" applyBorder="1" applyFill="1" applyFont="1">
      <alignment shrinkToFit="0" vertical="bottom" wrapText="0"/>
    </xf>
    <xf borderId="4" fillId="0" fontId="14" numFmtId="0" xfId="0" applyBorder="1" applyFont="1"/>
    <xf borderId="5" fillId="0" fontId="14" numFmtId="0" xfId="0" applyBorder="1" applyFont="1"/>
    <xf borderId="2" fillId="0" fontId="13" numFmtId="0" xfId="0" applyAlignment="1" applyBorder="1" applyFont="1">
      <alignment shrinkToFit="0" vertical="top" wrapText="1"/>
    </xf>
    <xf borderId="2" fillId="8" fontId="5" numFmtId="0" xfId="0" applyAlignment="1" applyBorder="1" applyFill="1" applyFont="1">
      <alignment shrinkToFit="0" vertical="top" wrapText="1"/>
    </xf>
    <xf borderId="0" fillId="0" fontId="15" numFmtId="0" xfId="0" applyAlignment="1" applyFont="1">
      <alignment shrinkToFit="0" vertical="bottom" wrapText="0"/>
    </xf>
    <xf borderId="2" fillId="0" fontId="5" numFmtId="0" xfId="0" applyAlignment="1" applyBorder="1" applyFont="1">
      <alignment shrinkToFit="0" vertical="bottom" wrapText="0"/>
    </xf>
    <xf borderId="2" fillId="8" fontId="5" numFmtId="0" xfId="0" applyAlignment="1" applyBorder="1" applyFont="1">
      <alignment shrinkToFit="0" vertical="bottom" wrapText="0"/>
    </xf>
    <xf borderId="2" fillId="4" fontId="11" numFmtId="0" xfId="0" applyAlignment="1" applyBorder="1" applyFont="1">
      <alignment shrinkToFit="0" vertical="top" wrapText="1"/>
    </xf>
    <xf borderId="2" fillId="4" fontId="1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5.0"/>
    <col customWidth="1" min="3" max="3" width="16.0"/>
    <col customWidth="1" min="4" max="4" width="46.0"/>
    <col customWidth="1" min="5" max="5" width="60.0"/>
    <col customWidth="1" min="6" max="26" width="8.71"/>
  </cols>
  <sheetData>
    <row r="1" ht="17.25" customHeight="1">
      <c r="A1" s="1" t="s">
        <v>0</v>
      </c>
      <c r="B1" s="2"/>
      <c r="C1" s="2"/>
      <c r="D1" s="2"/>
      <c r="E1" s="2"/>
    </row>
    <row r="2" ht="57.75" customHeight="1">
      <c r="A2" s="3" t="s">
        <v>1</v>
      </c>
    </row>
    <row r="3">
      <c r="A3" s="2"/>
      <c r="B3" s="2"/>
      <c r="C3" s="2"/>
      <c r="D3" s="2"/>
      <c r="E3" s="2"/>
    </row>
    <row r="4" ht="15.0" customHeight="1">
      <c r="A4" s="4" t="s">
        <v>2</v>
      </c>
      <c r="B4" s="4" t="s">
        <v>3</v>
      </c>
      <c r="C4" s="4" t="s">
        <v>4</v>
      </c>
      <c r="D4" s="4" t="s">
        <v>5</v>
      </c>
      <c r="E4" s="4" t="s">
        <v>6</v>
      </c>
    </row>
    <row r="5" ht="15.0" customHeight="1">
      <c r="A5" s="5">
        <v>1.0</v>
      </c>
      <c r="B5" s="5" t="s">
        <v>7</v>
      </c>
      <c r="C5" s="5" t="s">
        <v>8</v>
      </c>
      <c r="D5" s="5" t="s">
        <v>9</v>
      </c>
      <c r="E5" s="5" t="s">
        <v>10</v>
      </c>
    </row>
    <row r="6" ht="23.25" customHeight="1">
      <c r="A6" s="5">
        <v>2.0</v>
      </c>
      <c r="B6" s="5" t="s">
        <v>11</v>
      </c>
      <c r="C6" s="5" t="s">
        <v>8</v>
      </c>
      <c r="D6" s="5" t="s">
        <v>12</v>
      </c>
      <c r="E6" s="5" t="s">
        <v>13</v>
      </c>
    </row>
    <row r="7" ht="15.0" customHeight="1">
      <c r="A7" s="5">
        <v>3.0</v>
      </c>
      <c r="B7" s="5" t="s">
        <v>14</v>
      </c>
      <c r="C7" s="5" t="s">
        <v>8</v>
      </c>
      <c r="D7" s="5" t="s">
        <v>15</v>
      </c>
      <c r="E7" s="5"/>
    </row>
    <row r="8" ht="15.0" customHeight="1">
      <c r="A8" s="6">
        <v>4.0</v>
      </c>
      <c r="B8" s="6" t="s">
        <v>16</v>
      </c>
      <c r="C8" s="6" t="s">
        <v>8</v>
      </c>
      <c r="D8" s="6" t="s">
        <v>17</v>
      </c>
      <c r="E8" s="6" t="s">
        <v>18</v>
      </c>
    </row>
    <row r="9" ht="15.0" customHeight="1">
      <c r="A9" s="5">
        <v>5.0</v>
      </c>
      <c r="B9" s="5" t="s">
        <v>19</v>
      </c>
      <c r="C9" s="5" t="s">
        <v>8</v>
      </c>
      <c r="D9" s="5" t="s">
        <v>20</v>
      </c>
      <c r="E9" s="5" t="s">
        <v>21</v>
      </c>
    </row>
    <row r="10" ht="15.0" customHeight="1">
      <c r="A10" s="5">
        <v>6.0</v>
      </c>
      <c r="B10" s="5" t="s">
        <v>22</v>
      </c>
      <c r="C10" s="5" t="s">
        <v>23</v>
      </c>
      <c r="D10" s="5" t="s">
        <v>24</v>
      </c>
      <c r="E10" s="5" t="s">
        <v>25</v>
      </c>
    </row>
    <row r="11" ht="15.0" customHeight="1">
      <c r="A11" s="5">
        <v>7.0</v>
      </c>
      <c r="B11" s="5" t="s">
        <v>26</v>
      </c>
      <c r="C11" s="5" t="s">
        <v>23</v>
      </c>
      <c r="D11" s="5" t="s">
        <v>27</v>
      </c>
      <c r="E11" s="5" t="s">
        <v>28</v>
      </c>
    </row>
    <row r="12" ht="15.0" customHeight="1">
      <c r="A12" s="5">
        <v>8.0</v>
      </c>
      <c r="B12" s="5" t="s">
        <v>29</v>
      </c>
      <c r="C12" s="5" t="s">
        <v>23</v>
      </c>
      <c r="D12" s="5" t="s">
        <v>30</v>
      </c>
      <c r="E12" s="5" t="s">
        <v>31</v>
      </c>
    </row>
    <row r="13" ht="15.0" customHeight="1">
      <c r="A13" s="5">
        <v>9.0</v>
      </c>
      <c r="B13" s="5" t="s">
        <v>32</v>
      </c>
      <c r="C13" s="5" t="s">
        <v>23</v>
      </c>
      <c r="D13" s="5" t="s">
        <v>33</v>
      </c>
      <c r="E13" s="5" t="s">
        <v>34</v>
      </c>
    </row>
    <row r="14" ht="23.25" customHeight="1">
      <c r="A14" s="6">
        <v>10.0</v>
      </c>
      <c r="B14" s="6" t="s">
        <v>35</v>
      </c>
      <c r="C14" s="6" t="s">
        <v>36</v>
      </c>
      <c r="D14" s="6" t="s">
        <v>37</v>
      </c>
      <c r="E14" s="6" t="s">
        <v>38</v>
      </c>
    </row>
    <row r="15" ht="15.0" customHeight="1">
      <c r="A15" s="7">
        <v>11.0</v>
      </c>
      <c r="B15" s="7" t="s">
        <v>39</v>
      </c>
      <c r="C15" s="7" t="s">
        <v>40</v>
      </c>
      <c r="D15" s="7" t="s">
        <v>41</v>
      </c>
      <c r="E15" s="7" t="s">
        <v>42</v>
      </c>
    </row>
    <row r="16" ht="15.0" customHeight="1">
      <c r="A16" s="7">
        <v>12.0</v>
      </c>
      <c r="B16" s="7" t="s">
        <v>43</v>
      </c>
      <c r="C16" s="7" t="s">
        <v>40</v>
      </c>
      <c r="D16" s="7" t="s">
        <v>44</v>
      </c>
      <c r="E16" s="7" t="s">
        <v>45</v>
      </c>
    </row>
    <row r="17" ht="15.0" customHeight="1">
      <c r="A17" s="7">
        <v>13.0</v>
      </c>
      <c r="B17" s="7" t="s">
        <v>46</v>
      </c>
      <c r="C17" s="7" t="s">
        <v>40</v>
      </c>
      <c r="D17" s="7" t="s">
        <v>47</v>
      </c>
      <c r="E17" s="7" t="s">
        <v>48</v>
      </c>
    </row>
    <row r="18" ht="15.0" customHeight="1">
      <c r="A18" s="7">
        <v>14.0</v>
      </c>
      <c r="B18" s="7" t="s">
        <v>49</v>
      </c>
      <c r="C18" s="7" t="s">
        <v>40</v>
      </c>
      <c r="D18" s="7" t="s">
        <v>50</v>
      </c>
      <c r="E18" s="7" t="s">
        <v>51</v>
      </c>
    </row>
    <row r="19" ht="23.25" customHeight="1">
      <c r="A19" s="7">
        <v>15.0</v>
      </c>
      <c r="B19" s="7" t="s">
        <v>52</v>
      </c>
      <c r="C19" s="7" t="s">
        <v>40</v>
      </c>
      <c r="D19" s="7" t="s">
        <v>53</v>
      </c>
      <c r="E19" s="7" t="s">
        <v>54</v>
      </c>
    </row>
    <row r="20" ht="23.25" customHeight="1">
      <c r="A20" s="5">
        <v>16.0</v>
      </c>
      <c r="B20" s="5" t="s">
        <v>55</v>
      </c>
      <c r="C20" s="5" t="s">
        <v>56</v>
      </c>
      <c r="D20" s="5" t="s">
        <v>57</v>
      </c>
      <c r="E20" s="5" t="s">
        <v>58</v>
      </c>
    </row>
    <row r="21" ht="15.0" customHeight="1">
      <c r="A21" s="5">
        <v>17.0</v>
      </c>
      <c r="B21" s="5" t="s">
        <v>59</v>
      </c>
      <c r="C21" s="5" t="s">
        <v>56</v>
      </c>
      <c r="D21" s="5" t="s">
        <v>60</v>
      </c>
      <c r="E21" s="5"/>
    </row>
    <row r="22" ht="15.0" customHeight="1">
      <c r="A22" s="5">
        <v>18.0</v>
      </c>
      <c r="B22" s="5" t="s">
        <v>61</v>
      </c>
      <c r="C22" s="5" t="s">
        <v>56</v>
      </c>
      <c r="D22" s="5" t="s">
        <v>62</v>
      </c>
      <c r="E22" s="5"/>
    </row>
    <row r="23" ht="15.0" customHeight="1">
      <c r="A23" s="6">
        <v>19.0</v>
      </c>
      <c r="B23" s="6" t="s">
        <v>63</v>
      </c>
      <c r="C23" s="6" t="s">
        <v>56</v>
      </c>
      <c r="D23" s="6" t="s">
        <v>64</v>
      </c>
      <c r="E23" s="6" t="s">
        <v>65</v>
      </c>
    </row>
    <row r="24" ht="15.0" customHeight="1">
      <c r="A24" s="5">
        <v>20.0</v>
      </c>
      <c r="B24" s="5" t="s">
        <v>66</v>
      </c>
      <c r="C24" s="5" t="s">
        <v>67</v>
      </c>
      <c r="D24" s="5" t="s">
        <v>68</v>
      </c>
      <c r="E24" s="5" t="s">
        <v>69</v>
      </c>
    </row>
    <row r="25" ht="15.0" customHeight="1">
      <c r="A25" s="5">
        <v>21.0</v>
      </c>
      <c r="B25" s="5" t="s">
        <v>70</v>
      </c>
      <c r="C25" s="5" t="s">
        <v>71</v>
      </c>
      <c r="D25" s="5" t="s">
        <v>72</v>
      </c>
      <c r="E25" s="5" t="s">
        <v>73</v>
      </c>
    </row>
    <row r="26" ht="15.0" customHeight="1">
      <c r="A26" s="5">
        <v>22.0</v>
      </c>
      <c r="B26" s="5" t="s">
        <v>74</v>
      </c>
      <c r="C26" s="5" t="s">
        <v>71</v>
      </c>
      <c r="D26" s="5" t="s">
        <v>75</v>
      </c>
      <c r="E26" s="5"/>
    </row>
    <row r="27" ht="15.0" customHeight="1">
      <c r="A27" s="5">
        <v>23.0</v>
      </c>
      <c r="B27" s="5" t="s">
        <v>76</v>
      </c>
      <c r="C27" s="5" t="s">
        <v>71</v>
      </c>
      <c r="D27" s="5" t="s">
        <v>77</v>
      </c>
      <c r="E27" s="5" t="s">
        <v>78</v>
      </c>
    </row>
    <row r="28" ht="23.25" customHeight="1">
      <c r="A28" s="5">
        <v>24.0</v>
      </c>
      <c r="B28" s="5" t="s">
        <v>79</v>
      </c>
      <c r="C28" s="5" t="s">
        <v>71</v>
      </c>
      <c r="D28" s="5" t="s">
        <v>80</v>
      </c>
      <c r="E28" s="5" t="s">
        <v>81</v>
      </c>
    </row>
    <row r="29" ht="15.0" customHeight="1">
      <c r="A29" s="5">
        <v>25.0</v>
      </c>
      <c r="B29" s="5" t="s">
        <v>82</v>
      </c>
      <c r="C29" s="5" t="s">
        <v>83</v>
      </c>
      <c r="D29" s="5" t="s">
        <v>84</v>
      </c>
      <c r="E29" s="5" t="s">
        <v>85</v>
      </c>
    </row>
    <row r="30" ht="23.25" customHeight="1">
      <c r="A30" s="7">
        <v>26.0</v>
      </c>
      <c r="B30" s="7" t="s">
        <v>86</v>
      </c>
      <c r="C30" s="7" t="s">
        <v>83</v>
      </c>
      <c r="D30" s="7" t="s">
        <v>87</v>
      </c>
      <c r="E30" s="7" t="s">
        <v>88</v>
      </c>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1">
    <mergeCell ref="A2:E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2.0"/>
    <col customWidth="1" min="3" max="6" width="13.0"/>
    <col customWidth="1" min="7" max="7" width="14.0"/>
    <col customWidth="1" min="8" max="8" width="12.0"/>
    <col customWidth="1" min="9" max="26" width="8.71"/>
  </cols>
  <sheetData>
    <row r="1" ht="15.0" customHeight="1">
      <c r="A1" s="4" t="s">
        <v>89</v>
      </c>
      <c r="B1" s="4" t="s">
        <v>90</v>
      </c>
      <c r="C1" s="4" t="s">
        <v>91</v>
      </c>
      <c r="D1" s="2"/>
      <c r="E1" s="2"/>
      <c r="F1" s="2"/>
      <c r="G1" s="2"/>
      <c r="H1" s="2"/>
    </row>
    <row r="2" ht="15.0" customHeight="1">
      <c r="A2" s="2" t="s">
        <v>92</v>
      </c>
      <c r="B2" s="8">
        <v>275.0</v>
      </c>
      <c r="C2" s="2"/>
      <c r="D2" s="2"/>
      <c r="E2" s="2"/>
      <c r="F2" s="2"/>
      <c r="G2" s="2"/>
      <c r="H2" s="2"/>
    </row>
    <row r="3" ht="15.0" customHeight="1">
      <c r="A3" s="2" t="s">
        <v>93</v>
      </c>
      <c r="B3" s="8">
        <v>225.0</v>
      </c>
      <c r="C3" s="2"/>
      <c r="D3" s="2"/>
      <c r="E3" s="2"/>
      <c r="F3" s="2"/>
      <c r="G3" s="2"/>
      <c r="H3" s="2"/>
    </row>
    <row r="4" ht="15.0" customHeight="1">
      <c r="A4" s="2" t="s">
        <v>94</v>
      </c>
      <c r="B4" s="8">
        <v>195.0</v>
      </c>
      <c r="C4" s="2"/>
      <c r="D4" s="2"/>
      <c r="E4" s="2"/>
      <c r="F4" s="2"/>
      <c r="G4" s="2"/>
      <c r="H4" s="2"/>
    </row>
    <row r="5" ht="15.0" customHeight="1">
      <c r="A5" s="2" t="s">
        <v>95</v>
      </c>
      <c r="B5" s="8">
        <v>135.0</v>
      </c>
      <c r="C5" s="2"/>
      <c r="D5" s="2"/>
      <c r="E5" s="2"/>
      <c r="F5" s="2"/>
      <c r="G5" s="2"/>
      <c r="H5" s="2"/>
    </row>
    <row r="6" ht="15.0" customHeight="1">
      <c r="A6" s="2" t="s">
        <v>96</v>
      </c>
      <c r="B6" s="8">
        <v>315.0</v>
      </c>
      <c r="C6" s="2"/>
      <c r="D6" s="2"/>
      <c r="E6" s="2"/>
      <c r="F6" s="2"/>
      <c r="G6" s="2"/>
      <c r="H6" s="2"/>
    </row>
    <row r="7" ht="15.0" customHeight="1">
      <c r="A7" s="2" t="s">
        <v>97</v>
      </c>
      <c r="B7" s="9">
        <v>205.0</v>
      </c>
      <c r="C7" s="2" t="s">
        <v>98</v>
      </c>
      <c r="D7" s="2"/>
      <c r="E7" s="2"/>
      <c r="F7" s="2"/>
      <c r="G7" s="2"/>
      <c r="H7" s="2"/>
    </row>
    <row r="8" ht="15.0" customHeight="1">
      <c r="A8" s="2" t="s">
        <v>99</v>
      </c>
      <c r="B8" s="10">
        <v>145.0</v>
      </c>
      <c r="C8" s="2" t="s">
        <v>98</v>
      </c>
      <c r="D8" s="2"/>
      <c r="E8" s="2"/>
      <c r="F8" s="2"/>
      <c r="G8" s="2"/>
      <c r="H8" s="2"/>
    </row>
    <row r="9" ht="15.0" customHeight="1">
      <c r="A9" s="11" t="s">
        <v>100</v>
      </c>
      <c r="B9" s="2"/>
      <c r="C9" s="2"/>
      <c r="D9" s="2"/>
      <c r="E9" s="2"/>
      <c r="F9" s="2"/>
      <c r="G9" s="2"/>
      <c r="H9" s="2"/>
    </row>
    <row r="10" ht="15.0" customHeight="1">
      <c r="A10" s="12" t="s">
        <v>101</v>
      </c>
      <c r="B10" s="2"/>
      <c r="C10" s="2"/>
      <c r="D10" s="2"/>
      <c r="E10" s="2"/>
      <c r="F10" s="2"/>
      <c r="G10" s="2"/>
      <c r="H10" s="2"/>
    </row>
    <row r="11" ht="15.0" customHeight="1">
      <c r="A11" s="13" t="s">
        <v>102</v>
      </c>
      <c r="B11" s="13" t="s">
        <v>92</v>
      </c>
      <c r="C11" s="13" t="s">
        <v>93</v>
      </c>
      <c r="D11" s="13" t="s">
        <v>94</v>
      </c>
      <c r="E11" s="13" t="s">
        <v>95</v>
      </c>
      <c r="F11" s="13" t="s">
        <v>96</v>
      </c>
      <c r="G11" s="13" t="s">
        <v>97</v>
      </c>
      <c r="H11" s="13" t="s">
        <v>99</v>
      </c>
    </row>
    <row r="12" ht="15.0" customHeight="1">
      <c r="A12" s="14">
        <v>0.95</v>
      </c>
      <c r="B12" s="2">
        <f t="shared" ref="B12:B26" si="1">MROUND($B$2*$A12,5)</f>
        <v>260</v>
      </c>
      <c r="C12" s="2">
        <f t="shared" ref="C12:C26" si="2">MROUND($B$3*$A12,5)</f>
        <v>215</v>
      </c>
      <c r="D12" s="2">
        <f t="shared" ref="D12:D26" si="3">MROUND($B$4*$A12,5)</f>
        <v>185</v>
      </c>
      <c r="E12" s="2">
        <f t="shared" ref="E12:E26" si="4">MROUND($B$5*$A12,5)</f>
        <v>130</v>
      </c>
      <c r="F12" s="2">
        <f t="shared" ref="F12:F26" si="5">MROUND($B$6*$A12,5)</f>
        <v>300</v>
      </c>
      <c r="G12" s="2">
        <f t="shared" ref="G12:G26" si="6">MROUND($B$7*$A12,5)</f>
        <v>195</v>
      </c>
      <c r="H12" s="2">
        <f t="shared" ref="H12:H26" si="7">MROUND($B$8*$A12,5)</f>
        <v>140</v>
      </c>
    </row>
    <row r="13" ht="15.0" customHeight="1">
      <c r="A13" s="14">
        <v>0.925</v>
      </c>
      <c r="B13" s="2">
        <f t="shared" si="1"/>
        <v>255</v>
      </c>
      <c r="C13" s="2">
        <f t="shared" si="2"/>
        <v>210</v>
      </c>
      <c r="D13" s="2">
        <f t="shared" si="3"/>
        <v>180</v>
      </c>
      <c r="E13" s="2">
        <f t="shared" si="4"/>
        <v>125</v>
      </c>
      <c r="F13" s="2">
        <f t="shared" si="5"/>
        <v>290</v>
      </c>
      <c r="G13" s="2">
        <f t="shared" si="6"/>
        <v>190</v>
      </c>
      <c r="H13" s="2">
        <f t="shared" si="7"/>
        <v>135</v>
      </c>
    </row>
    <row r="14" ht="15.0" customHeight="1">
      <c r="A14" s="14">
        <v>0.9</v>
      </c>
      <c r="B14" s="2">
        <f t="shared" si="1"/>
        <v>250</v>
      </c>
      <c r="C14" s="2">
        <f t="shared" si="2"/>
        <v>205</v>
      </c>
      <c r="D14" s="2">
        <f t="shared" si="3"/>
        <v>175</v>
      </c>
      <c r="E14" s="2">
        <f t="shared" si="4"/>
        <v>120</v>
      </c>
      <c r="F14" s="2">
        <f t="shared" si="5"/>
        <v>285</v>
      </c>
      <c r="G14" s="2">
        <f t="shared" si="6"/>
        <v>185</v>
      </c>
      <c r="H14" s="2">
        <f t="shared" si="7"/>
        <v>130</v>
      </c>
    </row>
    <row r="15" ht="15.0" customHeight="1">
      <c r="A15" s="14">
        <v>0.875</v>
      </c>
      <c r="B15" s="2">
        <f t="shared" si="1"/>
        <v>240</v>
      </c>
      <c r="C15" s="2">
        <f t="shared" si="2"/>
        <v>195</v>
      </c>
      <c r="D15" s="2">
        <f t="shared" si="3"/>
        <v>170</v>
      </c>
      <c r="E15" s="2">
        <f t="shared" si="4"/>
        <v>120</v>
      </c>
      <c r="F15" s="2">
        <f t="shared" si="5"/>
        <v>275</v>
      </c>
      <c r="G15" s="2">
        <f t="shared" si="6"/>
        <v>180</v>
      </c>
      <c r="H15" s="2">
        <f t="shared" si="7"/>
        <v>125</v>
      </c>
    </row>
    <row r="16" ht="15.0" customHeight="1">
      <c r="A16" s="14">
        <v>0.85</v>
      </c>
      <c r="B16" s="2">
        <f t="shared" si="1"/>
        <v>235</v>
      </c>
      <c r="C16" s="2">
        <f t="shared" si="2"/>
        <v>190</v>
      </c>
      <c r="D16" s="2">
        <f t="shared" si="3"/>
        <v>165</v>
      </c>
      <c r="E16" s="2">
        <f t="shared" si="4"/>
        <v>115</v>
      </c>
      <c r="F16" s="2">
        <f t="shared" si="5"/>
        <v>270</v>
      </c>
      <c r="G16" s="2">
        <f t="shared" si="6"/>
        <v>175</v>
      </c>
      <c r="H16" s="2">
        <f t="shared" si="7"/>
        <v>125</v>
      </c>
    </row>
    <row r="17" ht="15.0" customHeight="1">
      <c r="A17" s="14">
        <v>0.825</v>
      </c>
      <c r="B17" s="2">
        <f t="shared" si="1"/>
        <v>225</v>
      </c>
      <c r="C17" s="2">
        <f t="shared" si="2"/>
        <v>185</v>
      </c>
      <c r="D17" s="2">
        <f t="shared" si="3"/>
        <v>160</v>
      </c>
      <c r="E17" s="2">
        <f t="shared" si="4"/>
        <v>110</v>
      </c>
      <c r="F17" s="2">
        <f t="shared" si="5"/>
        <v>260</v>
      </c>
      <c r="G17" s="2">
        <f t="shared" si="6"/>
        <v>170</v>
      </c>
      <c r="H17" s="2">
        <f t="shared" si="7"/>
        <v>120</v>
      </c>
    </row>
    <row r="18" ht="15.0" customHeight="1">
      <c r="A18" s="14">
        <v>0.8</v>
      </c>
      <c r="B18" s="2">
        <f t="shared" si="1"/>
        <v>220</v>
      </c>
      <c r="C18" s="2">
        <f t="shared" si="2"/>
        <v>180</v>
      </c>
      <c r="D18" s="2">
        <f t="shared" si="3"/>
        <v>155</v>
      </c>
      <c r="E18" s="2">
        <f t="shared" si="4"/>
        <v>110</v>
      </c>
      <c r="F18" s="2">
        <f t="shared" si="5"/>
        <v>250</v>
      </c>
      <c r="G18" s="2">
        <f t="shared" si="6"/>
        <v>165</v>
      </c>
      <c r="H18" s="2">
        <f t="shared" si="7"/>
        <v>115</v>
      </c>
    </row>
    <row r="19" ht="15.0" customHeight="1">
      <c r="A19" s="14">
        <v>0.775</v>
      </c>
      <c r="B19" s="2">
        <f t="shared" si="1"/>
        <v>215</v>
      </c>
      <c r="C19" s="2">
        <f t="shared" si="2"/>
        <v>175</v>
      </c>
      <c r="D19" s="2">
        <f t="shared" si="3"/>
        <v>150</v>
      </c>
      <c r="E19" s="2">
        <f t="shared" si="4"/>
        <v>105</v>
      </c>
      <c r="F19" s="2">
        <f t="shared" si="5"/>
        <v>245</v>
      </c>
      <c r="G19" s="2">
        <f t="shared" si="6"/>
        <v>160</v>
      </c>
      <c r="H19" s="2">
        <f t="shared" si="7"/>
        <v>110</v>
      </c>
    </row>
    <row r="20" ht="15.0" customHeight="1">
      <c r="A20" s="14">
        <v>0.75</v>
      </c>
      <c r="B20" s="2">
        <f t="shared" si="1"/>
        <v>205</v>
      </c>
      <c r="C20" s="2">
        <f t="shared" si="2"/>
        <v>170</v>
      </c>
      <c r="D20" s="2">
        <f t="shared" si="3"/>
        <v>145</v>
      </c>
      <c r="E20" s="2">
        <f t="shared" si="4"/>
        <v>100</v>
      </c>
      <c r="F20" s="2">
        <f t="shared" si="5"/>
        <v>235</v>
      </c>
      <c r="G20" s="2">
        <f t="shared" si="6"/>
        <v>155</v>
      </c>
      <c r="H20" s="2">
        <f t="shared" si="7"/>
        <v>110</v>
      </c>
    </row>
    <row r="21" ht="15.0" customHeight="1">
      <c r="A21" s="14">
        <v>0.725</v>
      </c>
      <c r="B21" s="2">
        <f t="shared" si="1"/>
        <v>200</v>
      </c>
      <c r="C21" s="2">
        <f t="shared" si="2"/>
        <v>165</v>
      </c>
      <c r="D21" s="2">
        <f t="shared" si="3"/>
        <v>140</v>
      </c>
      <c r="E21" s="2">
        <f t="shared" si="4"/>
        <v>100</v>
      </c>
      <c r="F21" s="2">
        <f t="shared" si="5"/>
        <v>230</v>
      </c>
      <c r="G21" s="2">
        <f t="shared" si="6"/>
        <v>150</v>
      </c>
      <c r="H21" s="2">
        <f t="shared" si="7"/>
        <v>105</v>
      </c>
    </row>
    <row r="22" ht="15.0" customHeight="1">
      <c r="A22" s="14">
        <v>0.7</v>
      </c>
      <c r="B22" s="2">
        <f t="shared" si="1"/>
        <v>195</v>
      </c>
      <c r="C22" s="2">
        <f t="shared" si="2"/>
        <v>160</v>
      </c>
      <c r="D22" s="2">
        <f t="shared" si="3"/>
        <v>135</v>
      </c>
      <c r="E22" s="2">
        <f t="shared" si="4"/>
        <v>95</v>
      </c>
      <c r="F22" s="2">
        <f t="shared" si="5"/>
        <v>220</v>
      </c>
      <c r="G22" s="2">
        <f t="shared" si="6"/>
        <v>145</v>
      </c>
      <c r="H22" s="2">
        <f t="shared" si="7"/>
        <v>100</v>
      </c>
    </row>
    <row r="23" ht="15.0" customHeight="1">
      <c r="A23" s="14">
        <v>0.675</v>
      </c>
      <c r="B23" s="2">
        <f t="shared" si="1"/>
        <v>185</v>
      </c>
      <c r="C23" s="2">
        <f t="shared" si="2"/>
        <v>150</v>
      </c>
      <c r="D23" s="2">
        <f t="shared" si="3"/>
        <v>130</v>
      </c>
      <c r="E23" s="2">
        <f t="shared" si="4"/>
        <v>90</v>
      </c>
      <c r="F23" s="2">
        <f t="shared" si="5"/>
        <v>215</v>
      </c>
      <c r="G23" s="2">
        <f t="shared" si="6"/>
        <v>140</v>
      </c>
      <c r="H23" s="2">
        <f t="shared" si="7"/>
        <v>100</v>
      </c>
    </row>
    <row r="24" ht="15.0" customHeight="1">
      <c r="A24" s="14">
        <v>0.65</v>
      </c>
      <c r="B24" s="2">
        <f t="shared" si="1"/>
        <v>180</v>
      </c>
      <c r="C24" s="2">
        <f t="shared" si="2"/>
        <v>145</v>
      </c>
      <c r="D24" s="2">
        <f t="shared" si="3"/>
        <v>125</v>
      </c>
      <c r="E24" s="2">
        <f t="shared" si="4"/>
        <v>90</v>
      </c>
      <c r="F24" s="2">
        <f t="shared" si="5"/>
        <v>205</v>
      </c>
      <c r="G24" s="2">
        <f t="shared" si="6"/>
        <v>135</v>
      </c>
      <c r="H24" s="2">
        <f t="shared" si="7"/>
        <v>95</v>
      </c>
    </row>
    <row r="25" ht="15.0" customHeight="1">
      <c r="A25" s="14">
        <v>0.625</v>
      </c>
      <c r="B25" s="2">
        <f t="shared" si="1"/>
        <v>170</v>
      </c>
      <c r="C25" s="2">
        <f t="shared" si="2"/>
        <v>140</v>
      </c>
      <c r="D25" s="2">
        <f t="shared" si="3"/>
        <v>120</v>
      </c>
      <c r="E25" s="2">
        <f t="shared" si="4"/>
        <v>85</v>
      </c>
      <c r="F25" s="2">
        <f t="shared" si="5"/>
        <v>195</v>
      </c>
      <c r="G25" s="2">
        <f t="shared" si="6"/>
        <v>130</v>
      </c>
      <c r="H25" s="2">
        <f t="shared" si="7"/>
        <v>90</v>
      </c>
    </row>
    <row r="26" ht="15.0" customHeight="1">
      <c r="A26" s="14">
        <v>0.6</v>
      </c>
      <c r="B26" s="2">
        <f t="shared" si="1"/>
        <v>165</v>
      </c>
      <c r="C26" s="2">
        <f t="shared" si="2"/>
        <v>135</v>
      </c>
      <c r="D26" s="2">
        <f t="shared" si="3"/>
        <v>115</v>
      </c>
      <c r="E26" s="2">
        <f t="shared" si="4"/>
        <v>80</v>
      </c>
      <c r="F26" s="2">
        <f t="shared" si="5"/>
        <v>190</v>
      </c>
      <c r="G26" s="2">
        <f t="shared" si="6"/>
        <v>125</v>
      </c>
      <c r="H26" s="2">
        <f t="shared" si="7"/>
        <v>85</v>
      </c>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46.0"/>
    <col customWidth="1" min="3" max="3" width="52.0"/>
    <col customWidth="1" min="4" max="4" width="44.0"/>
    <col customWidth="1" min="5" max="26" width="8.71"/>
  </cols>
  <sheetData>
    <row r="1">
      <c r="A1" s="15" t="s">
        <v>103</v>
      </c>
    </row>
    <row r="2" ht="63.75" customHeight="1">
      <c r="A2" s="3" t="s">
        <v>104</v>
      </c>
    </row>
    <row r="4">
      <c r="A4" s="16" t="s">
        <v>105</v>
      </c>
      <c r="B4" s="16" t="s">
        <v>106</v>
      </c>
      <c r="C4" s="16" t="s">
        <v>107</v>
      </c>
      <c r="D4" s="16" t="s">
        <v>108</v>
      </c>
    </row>
    <row r="5" ht="55.5" customHeight="1">
      <c r="A5" s="17" t="s">
        <v>109</v>
      </c>
      <c r="B5" s="18" t="s">
        <v>110</v>
      </c>
      <c r="C5" s="18" t="s">
        <v>111</v>
      </c>
      <c r="D5" s="18" t="s">
        <v>112</v>
      </c>
    </row>
    <row r="6" ht="55.5" customHeight="1">
      <c r="A6" s="17" t="s">
        <v>113</v>
      </c>
      <c r="B6" s="18" t="s">
        <v>114</v>
      </c>
      <c r="C6" s="18" t="s">
        <v>115</v>
      </c>
      <c r="D6" s="18" t="s">
        <v>116</v>
      </c>
    </row>
    <row r="7" ht="55.5" customHeight="1">
      <c r="A7" s="17" t="s">
        <v>117</v>
      </c>
      <c r="B7" s="18" t="s">
        <v>118</v>
      </c>
      <c r="C7" s="18" t="s">
        <v>119</v>
      </c>
      <c r="D7" s="18" t="s">
        <v>120</v>
      </c>
    </row>
    <row r="8" ht="55.5" customHeight="1">
      <c r="A8" s="17" t="s">
        <v>121</v>
      </c>
      <c r="B8" s="18" t="s">
        <v>122</v>
      </c>
      <c r="C8" s="18" t="s">
        <v>123</v>
      </c>
      <c r="D8" s="5" t="str">
        <f>"~65–70% → "&amp;MROUND(Maxes!$B$7*0.65,5)&amp;"–"&amp;MROUND(Maxes!$B$7*0.7,5)&amp;" lb — crisp, never a grind"</f>
        <v>~65–70% → 135–145 lb — crisp, never a grind</v>
      </c>
    </row>
    <row r="9" ht="55.5" customHeight="1">
      <c r="A9" s="17" t="s">
        <v>124</v>
      </c>
      <c r="B9" s="18" t="s">
        <v>125</v>
      </c>
      <c r="C9" s="18" t="s">
        <v>126</v>
      </c>
      <c r="D9" s="18" t="s">
        <v>127</v>
      </c>
    </row>
    <row r="10" ht="55.5" customHeight="1">
      <c r="A10" s="17" t="s">
        <v>128</v>
      </c>
      <c r="B10" s="18" t="s">
        <v>129</v>
      </c>
      <c r="C10" s="18" t="s">
        <v>130</v>
      </c>
      <c r="D10" s="18" t="s">
        <v>131</v>
      </c>
    </row>
    <row r="11" ht="55.5" customHeight="1">
      <c r="A11" s="17" t="s">
        <v>132</v>
      </c>
      <c r="B11" s="18" t="s">
        <v>133</v>
      </c>
      <c r="C11" s="18" t="s">
        <v>134</v>
      </c>
      <c r="D11" s="18" t="s">
        <v>135</v>
      </c>
    </row>
    <row r="13">
      <c r="A13" s="16" t="s">
        <v>136</v>
      </c>
      <c r="B13" s="16" t="s">
        <v>3</v>
      </c>
      <c r="C13" s="16" t="s">
        <v>137</v>
      </c>
      <c r="D13" s="16" t="s">
        <v>138</v>
      </c>
    </row>
    <row r="14" ht="42.0" customHeight="1">
      <c r="A14" s="17" t="s">
        <v>139</v>
      </c>
      <c r="B14" s="18" t="s">
        <v>140</v>
      </c>
      <c r="C14" s="18" t="s">
        <v>141</v>
      </c>
      <c r="D14" s="18" t="s">
        <v>142</v>
      </c>
    </row>
    <row r="15" ht="42.0" customHeight="1">
      <c r="A15" s="17" t="s">
        <v>143</v>
      </c>
      <c r="B15" s="18" t="s">
        <v>144</v>
      </c>
      <c r="C15" s="18" t="s">
        <v>145</v>
      </c>
      <c r="D15" s="18" t="s">
        <v>135</v>
      </c>
    </row>
    <row r="16" ht="42.0" customHeight="1">
      <c r="A16" s="17" t="s">
        <v>146</v>
      </c>
      <c r="B16" s="18" t="s">
        <v>147</v>
      </c>
      <c r="C16" s="18" t="s">
        <v>148</v>
      </c>
      <c r="D16" s="18" t="s">
        <v>149</v>
      </c>
    </row>
    <row r="17" ht="42.0" customHeight="1">
      <c r="A17" s="17" t="s">
        <v>150</v>
      </c>
      <c r="B17" s="18" t="s">
        <v>151</v>
      </c>
      <c r="C17" s="18" t="s">
        <v>152</v>
      </c>
      <c r="D17" s="18" t="s">
        <v>153</v>
      </c>
    </row>
    <row r="18" ht="42.0" customHeight="1">
      <c r="A18" s="17" t="s">
        <v>154</v>
      </c>
      <c r="B18" s="18" t="s">
        <v>155</v>
      </c>
      <c r="C18" s="18" t="s">
        <v>156</v>
      </c>
      <c r="D18" s="18" t="s">
        <v>157</v>
      </c>
    </row>
    <row r="19" ht="42.0" customHeight="1">
      <c r="A19" s="19" t="s">
        <v>158</v>
      </c>
      <c r="B19" s="20" t="s">
        <v>159</v>
      </c>
      <c r="C19" s="20" t="s">
        <v>160</v>
      </c>
      <c r="D19" s="20" t="s">
        <v>161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0"/>
    <col customWidth="1" min="3" max="3" width="72.0"/>
    <col customWidth="1" min="4" max="4" width="40.0"/>
    <col customWidth="1" min="5" max="5" width="46.0"/>
    <col customWidth="1" min="6" max="26" width="8.71"/>
  </cols>
  <sheetData>
    <row r="1" ht="15.75" customHeight="1">
      <c r="A1" s="15" t="s">
        <v>162</v>
      </c>
      <c r="B1" s="2"/>
      <c r="C1" s="2"/>
      <c r="D1" s="2"/>
      <c r="E1" s="2"/>
    </row>
    <row r="2" ht="30.0" customHeight="1">
      <c r="A2" s="3" t="s">
        <v>163</v>
      </c>
    </row>
    <row r="3">
      <c r="A3" s="2"/>
      <c r="B3" s="2"/>
      <c r="C3" s="2"/>
      <c r="D3" s="2"/>
      <c r="E3" s="2"/>
    </row>
    <row r="4" ht="15.0" customHeight="1">
      <c r="A4" s="4" t="s">
        <v>136</v>
      </c>
      <c r="B4" s="4" t="s">
        <v>105</v>
      </c>
      <c r="C4" s="4" t="s">
        <v>164</v>
      </c>
      <c r="D4" s="4" t="s">
        <v>165</v>
      </c>
      <c r="E4" s="4" t="s">
        <v>166</v>
      </c>
    </row>
    <row r="5" ht="15.0" customHeight="1">
      <c r="A5" s="21" t="s">
        <v>167</v>
      </c>
      <c r="B5" s="22"/>
      <c r="C5" s="22"/>
      <c r="D5" s="22"/>
      <c r="E5" s="23"/>
    </row>
    <row r="6" ht="142.5" customHeight="1">
      <c r="A6" s="5" t="s">
        <v>168</v>
      </c>
      <c r="B6" s="24" t="s">
        <v>109</v>
      </c>
      <c r="C6" s="5" t="s">
        <v>169</v>
      </c>
      <c r="D6" s="5" t="str">
        <f>"80% → "&amp;MROUND(Maxes!$B$2*0.8,5)&amp;" lb"&amp;"  ·  "&amp;"82.5% → "&amp;MROUND(Maxes!$B$2*0.825,5)&amp;" lb"&amp;"  ·  "&amp;"85% → "&amp;MROUND(Maxes!$B$2*0.85,5)&amp;" lb"&amp;"  ·  "&amp;"65% → "&amp;MROUND(Maxes!$B$2*0.65,5)&amp;" lb"</f>
        <v>80% → 220 lb  ·  82.5% → 225 lb  ·  85% → 235 lb  ·  65% → 180 lb</v>
      </c>
      <c r="E6" s="25"/>
    </row>
    <row r="7" ht="168.75" customHeight="1">
      <c r="A7" s="5" t="s">
        <v>170</v>
      </c>
      <c r="B7" s="24" t="s">
        <v>113</v>
      </c>
      <c r="C7" s="5" t="s">
        <v>171</v>
      </c>
      <c r="D7" s="5" t="str">
        <f>"80% → "&amp;MROUND(Maxes!$B$4*0.8,5)&amp;" lb"&amp;"  ·  "&amp;"82.5% → "&amp;MROUND(Maxes!$B$4*0.825,5)&amp;" lb"&amp;"  ·  "&amp;"85% → "&amp;MROUND(Maxes!$B$4*0.85,5)&amp;" lb"&amp;"  ·  "&amp;"65% → "&amp;MROUND(Maxes!$B$4*0.65,5)&amp;" lb"</f>
        <v>80% → 155 lb  ·  82.5% → 160 lb  ·  85% → 165 lb  ·  65% → 125 lb</v>
      </c>
      <c r="E7" s="25"/>
    </row>
    <row r="8">
      <c r="A8" s="5" t="s">
        <v>172</v>
      </c>
      <c r="B8" s="24" t="s">
        <v>117</v>
      </c>
      <c r="C8" s="5" t="s">
        <v>173</v>
      </c>
      <c r="D8" s="5"/>
      <c r="E8" s="25"/>
    </row>
    <row r="9">
      <c r="A9" s="5" t="s">
        <v>174</v>
      </c>
      <c r="B9" s="24" t="s">
        <v>124</v>
      </c>
      <c r="C9" s="5" t="s">
        <v>175</v>
      </c>
      <c r="D9" s="5" t="str">
        <f>"80% → "&amp;MROUND(Maxes!$B$5*0.8,5)&amp;" lb"&amp;"  ·  "&amp;"82.5% → "&amp;MROUND(Maxes!$B$5*0.825,5)&amp;" lb"&amp;"  ·  "&amp;"85% → "&amp;MROUND(Maxes!$B$5*0.85,5)&amp;" lb"&amp;"  ·  "&amp;"65% → "&amp;MROUND(Maxes!$B$5*0.65,5)&amp;" lb"</f>
        <v>80% → 110 lb  ·  82.5% → 110 lb  ·  85% → 115 lb  ·  65% → 90 lb</v>
      </c>
      <c r="E9" s="25"/>
    </row>
    <row r="10" ht="78.0" customHeight="1">
      <c r="A10" s="5" t="s">
        <v>176</v>
      </c>
      <c r="B10" s="24" t="s">
        <v>128</v>
      </c>
      <c r="C10" s="5" t="s">
        <v>177</v>
      </c>
      <c r="D10" s="5" t="str">
        <f>"80% → "&amp;MROUND(Maxes!$B$3*0.8,5)&amp;" lb"&amp;"  ·  "&amp;"82.5% → "&amp;MROUND(Maxes!$B$3*0.825,5)&amp;" lb"&amp;"  ·  "&amp;"85% → "&amp;MROUND(Maxes!$B$3*0.85,5)&amp;" lb"&amp;"  ·  "&amp;"65% → "&amp;MROUND(Maxes!$B$3*0.65,5)&amp;" lb"</f>
        <v>80% → 180 lb  ·  82.5% → 185 lb  ·  85% → 190 lb  ·  65% → 145 lb</v>
      </c>
      <c r="E10" s="25"/>
    </row>
    <row r="11">
      <c r="A11" s="2"/>
      <c r="B11" s="2"/>
      <c r="C11" s="2"/>
      <c r="D11" s="2"/>
      <c r="E11" s="2"/>
    </row>
    <row r="12" ht="15.0" customHeight="1">
      <c r="A12" s="21" t="s">
        <v>178</v>
      </c>
      <c r="B12" s="22"/>
      <c r="C12" s="22"/>
      <c r="D12" s="22"/>
      <c r="E12" s="23"/>
    </row>
    <row r="13" ht="142.5" customHeight="1">
      <c r="A13" s="5" t="s">
        <v>179</v>
      </c>
      <c r="B13" s="24" t="s">
        <v>109</v>
      </c>
      <c r="C13" s="5" t="s">
        <v>180</v>
      </c>
      <c r="D13" s="5" t="str">
        <f>"82.5% → "&amp;MROUND(Maxes!$B$2*0.825,5)&amp;" lb"&amp;"  ·  "&amp;"85% → "&amp;MROUND(Maxes!$B$2*0.85,5)&amp;" lb"&amp;"  ·  "&amp;"87.5% → "&amp;MROUND(Maxes!$B$2*0.875,5)&amp;" lb"&amp;"  ·  "&amp;"90% → "&amp;MROUND(Maxes!$B$2*0.9,5)&amp;" lb"&amp;"  ·  "&amp;"67.5% → "&amp;MROUND(Maxes!$B$2*0.675,5)&amp;" lb"</f>
        <v>82.5% → 225 lb  ·  85% → 235 lb  ·  87.5% → 240 lb  ·  90% → 250 lb  ·  67.5% → 185 lb</v>
      </c>
      <c r="E13" s="25"/>
    </row>
    <row r="14" ht="168.75" customHeight="1">
      <c r="A14" s="5" t="s">
        <v>181</v>
      </c>
      <c r="B14" s="24" t="s">
        <v>113</v>
      </c>
      <c r="C14" s="5" t="s">
        <v>182</v>
      </c>
      <c r="D14" s="5" t="str">
        <f>"82.5% → "&amp;MROUND(Maxes!$B$4*0.825,5)&amp;" lb"&amp;"  ·  "&amp;"85% → "&amp;MROUND(Maxes!$B$4*0.85,5)&amp;" lb"&amp;"  ·  "&amp;"87.5% → "&amp;MROUND(Maxes!$B$4*0.875,5)&amp;" lb"&amp;"  ·  "&amp;"90% → "&amp;MROUND(Maxes!$B$4*0.9,5)&amp;" lb"&amp;"  ·  "&amp;"67.5% → "&amp;MROUND(Maxes!$B$4*0.675,5)&amp;" lb"</f>
        <v>82.5% → 160 lb  ·  85% → 165 lb  ·  87.5% → 170 lb  ·  90% → 175 lb  ·  67.5% → 130 lb</v>
      </c>
      <c r="E14" s="25"/>
    </row>
    <row r="15" ht="60.0" customHeight="1">
      <c r="A15" s="5" t="s">
        <v>183</v>
      </c>
      <c r="B15" s="24" t="s">
        <v>117</v>
      </c>
      <c r="C15" s="5" t="s">
        <v>184</v>
      </c>
      <c r="D15" s="5"/>
      <c r="E15" s="25"/>
    </row>
    <row r="16" ht="103.5" customHeight="1">
      <c r="A16" s="5" t="s">
        <v>185</v>
      </c>
      <c r="B16" s="24" t="s">
        <v>124</v>
      </c>
      <c r="C16" s="5" t="s">
        <v>186</v>
      </c>
      <c r="D16" s="5" t="str">
        <f>"82.5% → "&amp;MROUND(Maxes!$B$5*0.825,5)&amp;" lb"&amp;"  ·  "&amp;"85% → "&amp;MROUND(Maxes!$B$5*0.85,5)&amp;" lb"&amp;"  ·  "&amp;"87.5% → "&amp;MROUND(Maxes!$B$5*0.875,5)&amp;" lb"&amp;"  ·  "&amp;"90% → "&amp;MROUND(Maxes!$B$5*0.9,5)&amp;" lb"&amp;"  ·  "&amp;"67.5% → "&amp;MROUND(Maxes!$B$5*0.675,5)&amp;" lb"</f>
        <v>82.5% → 110 lb  ·  85% → 115 lb  ·  87.5% → 120 lb  ·  90% → 120 lb  ·  67.5% → 90 lb</v>
      </c>
      <c r="E16" s="25"/>
    </row>
    <row r="17" ht="78.0" customHeight="1">
      <c r="A17" s="5" t="s">
        <v>187</v>
      </c>
      <c r="B17" s="24" t="s">
        <v>128</v>
      </c>
      <c r="C17" s="5" t="s">
        <v>188</v>
      </c>
      <c r="D17" s="5" t="str">
        <f>"82.5% → "&amp;MROUND(Maxes!$B$3*0.825,5)&amp;" lb"&amp;"  ·  "&amp;"85% → "&amp;MROUND(Maxes!$B$3*0.85,5)&amp;" lb"&amp;"  ·  "&amp;"87.5% → "&amp;MROUND(Maxes!$B$3*0.875,5)&amp;" lb"&amp;"  ·  "&amp;"90% → "&amp;MROUND(Maxes!$B$3*0.9,5)&amp;" lb"&amp;"  ·  "&amp;"67.5% → "&amp;MROUND(Maxes!$B$3*0.675,5)&amp;" lb"</f>
        <v>82.5% → 185 lb  ·  85% → 190 lb  ·  87.5% → 195 lb  ·  90% → 205 lb  ·  67.5% → 150 lb</v>
      </c>
      <c r="E17" s="25"/>
    </row>
    <row r="18">
      <c r="A18" s="2"/>
      <c r="B18" s="2"/>
      <c r="C18" s="2"/>
      <c r="D18" s="2"/>
      <c r="E18" s="2"/>
    </row>
    <row r="19" ht="15.0" customHeight="1">
      <c r="A19" s="21" t="s">
        <v>189</v>
      </c>
      <c r="B19" s="22"/>
      <c r="C19" s="22"/>
      <c r="D19" s="22"/>
      <c r="E19" s="23"/>
    </row>
    <row r="20" ht="117.0" customHeight="1">
      <c r="A20" s="5" t="s">
        <v>190</v>
      </c>
      <c r="B20" s="24" t="s">
        <v>109</v>
      </c>
      <c r="C20" s="5" t="s">
        <v>191</v>
      </c>
      <c r="D20" s="5" t="str">
        <f>"85% → "&amp;MROUND(Maxes!$B$2*0.85,5)&amp;" lb"&amp;"  ·  "&amp;"87.5% → "&amp;MROUND(Maxes!$B$2*0.875,5)&amp;" lb"&amp;"  ·  "&amp;"90% → "&amp;MROUND(Maxes!$B$2*0.9,5)&amp;" lb"&amp;"  ·  "&amp;"92.5% → "&amp;MROUND(Maxes!$B$2*0.925,5)&amp;" lb"&amp;"  ·  "&amp;"70% → "&amp;MROUND(Maxes!$B$2*0.7,5)&amp;" lb"</f>
        <v>85% → 235 lb  ·  87.5% → 240 lb  ·  90% → 250 lb  ·  92.5% → 255 lb  ·  70% → 195 lb</v>
      </c>
      <c r="E20" s="25"/>
    </row>
    <row r="21" ht="168.75" customHeight="1">
      <c r="A21" s="5" t="s">
        <v>192</v>
      </c>
      <c r="B21" s="24" t="s">
        <v>113</v>
      </c>
      <c r="C21" s="5" t="s">
        <v>193</v>
      </c>
      <c r="D21" s="5" t="str">
        <f>"85% → "&amp;MROUND(Maxes!$B$4*0.85,5)&amp;" lb"&amp;"  ·  "&amp;"87.5% → "&amp;MROUND(Maxes!$B$4*0.875,5)&amp;" lb"&amp;"  ·  "&amp;"90% → "&amp;MROUND(Maxes!$B$4*0.9,5)&amp;" lb"&amp;"  ·  "&amp;"92.5% → "&amp;MROUND(Maxes!$B$4*0.925,5)&amp;" lb"&amp;"  ·  "&amp;"70% → "&amp;MROUND(Maxes!$B$4*0.7,5)&amp;" lb"</f>
        <v>85% → 165 lb  ·  87.5% → 170 lb  ·  90% → 175 lb  ·  92.5% → 180 lb  ·  70% → 135 lb</v>
      </c>
      <c r="E21" s="25"/>
    </row>
    <row r="22" ht="60.0" customHeight="1">
      <c r="A22" s="5" t="s">
        <v>194</v>
      </c>
      <c r="B22" s="24" t="s">
        <v>117</v>
      </c>
      <c r="C22" s="5" t="s">
        <v>195</v>
      </c>
      <c r="D22" s="5"/>
      <c r="E22" s="25"/>
    </row>
    <row r="23" ht="103.5" customHeight="1">
      <c r="A23" s="5" t="s">
        <v>196</v>
      </c>
      <c r="B23" s="24" t="s">
        <v>124</v>
      </c>
      <c r="C23" s="5" t="s">
        <v>197</v>
      </c>
      <c r="D23" s="5" t="str">
        <f>"85% → "&amp;MROUND(Maxes!$B$5*0.85,5)&amp;" lb"&amp;"  ·  "&amp;"87.5% → "&amp;MROUND(Maxes!$B$5*0.875,5)&amp;" lb"&amp;"  ·  "&amp;"90% → "&amp;MROUND(Maxes!$B$5*0.9,5)&amp;" lb"&amp;"  ·  "&amp;"92.5% → "&amp;MROUND(Maxes!$B$5*0.925,5)&amp;" lb"&amp;"  ·  "&amp;"70% → "&amp;MROUND(Maxes!$B$5*0.7,5)&amp;" lb"</f>
        <v>85% → 115 lb  ·  87.5% → 120 lb  ·  90% → 120 lb  ·  92.5% → 125 lb  ·  70% → 95 lb</v>
      </c>
      <c r="E23" s="25"/>
    </row>
    <row r="24" ht="78.0" customHeight="1">
      <c r="A24" s="5" t="s">
        <v>198</v>
      </c>
      <c r="B24" s="24" t="s">
        <v>128</v>
      </c>
      <c r="C24" s="5" t="s">
        <v>199</v>
      </c>
      <c r="D24" s="5" t="str">
        <f>"85% → "&amp;MROUND(Maxes!$B$3*0.85,5)&amp;" lb"&amp;"  ·  "&amp;"87.5% → "&amp;MROUND(Maxes!$B$3*0.875,5)&amp;" lb"&amp;"  ·  "&amp;"90% → "&amp;MROUND(Maxes!$B$3*0.9,5)&amp;" lb"&amp;"  ·  "&amp;"92.5% → "&amp;MROUND(Maxes!$B$3*0.925,5)&amp;" lb"&amp;"  ·  "&amp;"70% → "&amp;MROUND(Maxes!$B$3*0.7,5)&amp;" lb"</f>
        <v>85% → 190 lb  ·  87.5% → 195 lb  ·  90% → 205 lb  ·  92.5% → 210 lb  ·  70% → 160 lb</v>
      </c>
      <c r="E24" s="25"/>
    </row>
    <row r="25" ht="15.75" customHeight="1">
      <c r="A25" s="2"/>
      <c r="B25" s="2"/>
      <c r="C25" s="2"/>
      <c r="D25" s="2"/>
      <c r="E25" s="2"/>
    </row>
    <row r="26" ht="15.0" customHeight="1">
      <c r="A26" s="21" t="s">
        <v>200</v>
      </c>
      <c r="B26" s="22"/>
      <c r="C26" s="22"/>
      <c r="D26" s="22"/>
      <c r="E26" s="23"/>
    </row>
    <row r="27" ht="90.75" customHeight="1">
      <c r="A27" s="5" t="s">
        <v>201</v>
      </c>
      <c r="B27" s="24" t="s">
        <v>109</v>
      </c>
      <c r="C27" s="5" t="s">
        <v>202</v>
      </c>
      <c r="D27" s="5" t="str">
        <f>"87.5% → "&amp;MROUND(Maxes!$B$2*0.875,5)&amp;" lb"&amp;"  ·  "&amp;"80% → "&amp;MROUND(Maxes!$B$2*0.8,5)&amp;" lb"</f>
        <v>87.5% → 240 lb  ·  80% → 220 lb</v>
      </c>
      <c r="E27" s="25"/>
    </row>
    <row r="28" ht="168.75" customHeight="1">
      <c r="A28" s="5" t="s">
        <v>203</v>
      </c>
      <c r="B28" s="24" t="s">
        <v>113</v>
      </c>
      <c r="C28" s="5" t="s">
        <v>204</v>
      </c>
      <c r="D28" s="5" t="str">
        <f>"87.5% → "&amp;MROUND(Maxes!$B$4*0.875,5)&amp;" lb"&amp;"  ·  "&amp;"80% → "&amp;MROUND(Maxes!$B$4*0.8,5)&amp;" lb"</f>
        <v>87.5% → 170 lb  ·  80% → 155 lb</v>
      </c>
      <c r="E28" s="25"/>
    </row>
    <row r="29" ht="60.0" customHeight="1">
      <c r="A29" s="5" t="s">
        <v>205</v>
      </c>
      <c r="B29" s="24" t="s">
        <v>117</v>
      </c>
      <c r="C29" s="5" t="s">
        <v>206</v>
      </c>
      <c r="D29" s="5"/>
      <c r="E29" s="25"/>
    </row>
    <row r="30" ht="103.5" customHeight="1">
      <c r="A30" s="5" t="s">
        <v>207</v>
      </c>
      <c r="B30" s="24" t="s">
        <v>124</v>
      </c>
      <c r="C30" s="5" t="s">
        <v>208</v>
      </c>
      <c r="D30" s="5" t="str">
        <f>"87.5% → "&amp;MROUND(Maxes!$B$5*0.875,5)&amp;" lb"&amp;"  ·  "&amp;"80% → "&amp;MROUND(Maxes!$B$5*0.8,5)&amp;" lb"</f>
        <v>87.5% → 120 lb  ·  80% → 110 lb</v>
      </c>
      <c r="E30" s="25"/>
    </row>
    <row r="31" ht="78.0" customHeight="1">
      <c r="A31" s="5" t="s">
        <v>209</v>
      </c>
      <c r="B31" s="24" t="s">
        <v>128</v>
      </c>
      <c r="C31" s="5" t="s">
        <v>210</v>
      </c>
      <c r="D31" s="5" t="str">
        <f>"87.5% → "&amp;MROUND(Maxes!$B$3*0.875,5)&amp;" lb"&amp;"  ·  "&amp;"80% → "&amp;MROUND(Maxes!$B$3*0.8,5)&amp;" lb"</f>
        <v>87.5% → 195 lb  ·  80% → 180 lb</v>
      </c>
      <c r="E31" s="25"/>
    </row>
    <row r="32" ht="15.75" customHeight="1">
      <c r="A32" s="2"/>
      <c r="B32" s="2"/>
      <c r="C32" s="2"/>
      <c r="D32" s="2"/>
      <c r="E32" s="2"/>
    </row>
    <row r="33" ht="15.0" customHeight="1">
      <c r="A33" s="21" t="s">
        <v>211</v>
      </c>
      <c r="B33" s="22"/>
      <c r="C33" s="22"/>
      <c r="D33" s="22"/>
      <c r="E33" s="23"/>
    </row>
    <row r="34" ht="117.0" customHeight="1">
      <c r="A34" s="5" t="s">
        <v>212</v>
      </c>
      <c r="B34" s="24" t="s">
        <v>109</v>
      </c>
      <c r="C34" s="5" t="s">
        <v>213</v>
      </c>
      <c r="D34" s="5" t="str">
        <f>"80% → "&amp;MROUND(Maxes!$B$2*0.8,5)&amp;" lb"&amp;"  ·  "&amp;"72.5% → "&amp;MROUND(Maxes!$B$2*0.725,5)&amp;" lb"</f>
        <v>80% → 220 lb  ·  72.5% → 200 lb</v>
      </c>
      <c r="E34" s="25"/>
    </row>
    <row r="35" ht="168.75" customHeight="1">
      <c r="A35" s="5" t="s">
        <v>214</v>
      </c>
      <c r="B35" s="24" t="s">
        <v>113</v>
      </c>
      <c r="C35" s="5" t="s">
        <v>215</v>
      </c>
      <c r="D35" s="5" t="str">
        <f>"80% → "&amp;MROUND(Maxes!$B$4*0.8,5)&amp;" lb"&amp;"  ·  "&amp;"72.5% → "&amp;MROUND(Maxes!$B$4*0.725,5)&amp;" lb"</f>
        <v>80% → 155 lb  ·  72.5% → 140 lb</v>
      </c>
      <c r="E35" s="25"/>
    </row>
    <row r="36" ht="60.0" customHeight="1">
      <c r="A36" s="5" t="s">
        <v>216</v>
      </c>
      <c r="B36" s="24" t="s">
        <v>117</v>
      </c>
      <c r="C36" s="5" t="s">
        <v>217</v>
      </c>
      <c r="D36" s="5"/>
      <c r="E36" s="25"/>
    </row>
    <row r="37" ht="103.5" customHeight="1">
      <c r="A37" s="5" t="s">
        <v>218</v>
      </c>
      <c r="B37" s="24" t="s">
        <v>124</v>
      </c>
      <c r="C37" s="5" t="s">
        <v>219</v>
      </c>
      <c r="D37" s="5" t="str">
        <f>"80% → "&amp;MROUND(Maxes!$B$5*0.8,5)&amp;" lb"&amp;"  ·  "&amp;"72.5% → "&amp;MROUND(Maxes!$B$5*0.725,5)&amp;" lb"</f>
        <v>80% → 110 lb  ·  72.5% → 100 lb</v>
      </c>
      <c r="E37" s="25"/>
    </row>
    <row r="38" ht="78.0" customHeight="1">
      <c r="A38" s="5" t="s">
        <v>220</v>
      </c>
      <c r="B38" s="24" t="s">
        <v>128</v>
      </c>
      <c r="C38" s="5" t="s">
        <v>221</v>
      </c>
      <c r="D38" s="5" t="str">
        <f>"80% → "&amp;MROUND(Maxes!$B$3*0.8,5)&amp;" lb"&amp;"  ·  "&amp;"72.5% → "&amp;MROUND(Maxes!$B$3*0.725,5)&amp;" lb"</f>
        <v>80% → 180 lb  ·  72.5% → 165 lb</v>
      </c>
      <c r="E38" s="25"/>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6">
    <mergeCell ref="A2:E2"/>
    <mergeCell ref="A5:E5"/>
    <mergeCell ref="A12:E12"/>
    <mergeCell ref="A19:E19"/>
    <mergeCell ref="A26:E26"/>
    <mergeCell ref="A33:E3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0"/>
    <col customWidth="1" min="3" max="3" width="72.0"/>
    <col customWidth="1" min="4" max="4" width="40.0"/>
    <col customWidth="1" min="5" max="5" width="46.0"/>
    <col customWidth="1" min="6" max="26" width="8.71"/>
  </cols>
  <sheetData>
    <row r="1" ht="15.75" customHeight="1">
      <c r="A1" s="15" t="s">
        <v>222</v>
      </c>
      <c r="B1" s="2"/>
      <c r="C1" s="2"/>
      <c r="D1" s="2"/>
      <c r="E1" s="2"/>
    </row>
    <row r="2" ht="30.0" customHeight="1">
      <c r="A2" s="3" t="s">
        <v>223</v>
      </c>
    </row>
    <row r="3">
      <c r="A3" s="2"/>
      <c r="B3" s="2"/>
      <c r="C3" s="2"/>
      <c r="D3" s="2"/>
      <c r="E3" s="2"/>
    </row>
    <row r="4" ht="15.0" customHeight="1">
      <c r="A4" s="4" t="s">
        <v>136</v>
      </c>
      <c r="B4" s="4" t="s">
        <v>105</v>
      </c>
      <c r="C4" s="4" t="s">
        <v>164</v>
      </c>
      <c r="D4" s="4" t="s">
        <v>165</v>
      </c>
      <c r="E4" s="4" t="s">
        <v>166</v>
      </c>
    </row>
    <row r="5" ht="15.0" customHeight="1">
      <c r="A5" s="21" t="s">
        <v>224</v>
      </c>
      <c r="B5" s="22"/>
      <c r="C5" s="22"/>
      <c r="D5" s="22"/>
      <c r="E5" s="23"/>
    </row>
    <row r="6" ht="78.0" customHeight="1">
      <c r="A6" s="5" t="s">
        <v>225</v>
      </c>
      <c r="B6" s="24" t="s">
        <v>109</v>
      </c>
      <c r="C6" s="5" t="s">
        <v>226</v>
      </c>
      <c r="D6" s="5" t="str">
        <f>"82.5% → "&amp;MROUND(Maxes!$B$2*0.825,5)&amp;" lb"&amp;"  ·  "&amp;"72.5% → "&amp;MROUND(Maxes!$B$2*0.725,5)&amp;" lb"</f>
        <v>82.5% → 225 lb  ·  72.5% → 200 lb</v>
      </c>
      <c r="E6" s="25"/>
    </row>
    <row r="7" ht="129.75" customHeight="1">
      <c r="A7" s="5" t="s">
        <v>227</v>
      </c>
      <c r="B7" s="24" t="s">
        <v>113</v>
      </c>
      <c r="C7" s="5" t="s">
        <v>228</v>
      </c>
      <c r="D7" s="5" t="str">
        <f>"82.5% → "&amp;MROUND(Maxes!$B$4*0.825,5)&amp;" lb"&amp;"  ·  "&amp;"72.5% → "&amp;MROUND(Maxes!$B$4*0.725,5)&amp;" lb"</f>
        <v>82.5% → 160 lb  ·  72.5% → 140 lb</v>
      </c>
      <c r="E7" s="25"/>
    </row>
    <row r="8" ht="60.0" customHeight="1">
      <c r="A8" s="5" t="s">
        <v>229</v>
      </c>
      <c r="B8" s="24" t="s">
        <v>117</v>
      </c>
      <c r="C8" s="5" t="s">
        <v>230</v>
      </c>
      <c r="D8" s="5" t="str">
        <f>"45% → "&amp;MROUND(Maxes!$B$7*0.45,5)&amp;" lb"&amp;"  ·  "&amp;"75% → "&amp;MROUND(Maxes!$B$7*0.75,5)&amp;" lb"</f>
        <v>45% → 90 lb  ·  75% → 155 lb</v>
      </c>
      <c r="E8" s="25"/>
    </row>
    <row r="9" ht="117.0" customHeight="1">
      <c r="A9" s="5" t="s">
        <v>231</v>
      </c>
      <c r="B9" s="24" t="s">
        <v>124</v>
      </c>
      <c r="C9" s="5" t="s">
        <v>232</v>
      </c>
      <c r="D9" s="5"/>
      <c r="E9" s="25"/>
    </row>
    <row r="10" ht="60.0" customHeight="1">
      <c r="A10" s="5" t="s">
        <v>233</v>
      </c>
      <c r="B10" s="24" t="s">
        <v>128</v>
      </c>
      <c r="C10" s="5" t="s">
        <v>234</v>
      </c>
      <c r="D10" s="5" t="str">
        <f>"80% → "&amp;MROUND(Maxes!$B$3*0.8,5)&amp;" lb"</f>
        <v>80% → 180 lb</v>
      </c>
      <c r="E10" s="25"/>
    </row>
    <row r="11">
      <c r="A11" s="2"/>
      <c r="B11" s="2"/>
      <c r="C11" s="2"/>
      <c r="D11" s="2"/>
      <c r="E11" s="2"/>
    </row>
    <row r="12" ht="15.0" customHeight="1">
      <c r="A12" s="21" t="s">
        <v>235</v>
      </c>
      <c r="B12" s="22"/>
      <c r="C12" s="22"/>
      <c r="D12" s="22"/>
      <c r="E12" s="23"/>
    </row>
    <row r="13" ht="78.0" customHeight="1">
      <c r="A13" s="5" t="s">
        <v>236</v>
      </c>
      <c r="B13" s="24" t="s">
        <v>109</v>
      </c>
      <c r="C13" s="5" t="s">
        <v>237</v>
      </c>
      <c r="D13" s="5" t="str">
        <f>"85% → "&amp;MROUND(Maxes!$B$2*0.85,5)&amp;" lb"&amp;"  ·  "&amp;"72.5% → "&amp;MROUND(Maxes!$B$2*0.725,5)&amp;" lb"</f>
        <v>85% → 235 lb  ·  72.5% → 200 lb</v>
      </c>
      <c r="E13" s="25"/>
    </row>
    <row r="14" ht="129.75" customHeight="1">
      <c r="A14" s="5" t="s">
        <v>238</v>
      </c>
      <c r="B14" s="24" t="s">
        <v>113</v>
      </c>
      <c r="C14" s="5" t="s">
        <v>239</v>
      </c>
      <c r="D14" s="5" t="str">
        <f>"85% → "&amp;MROUND(Maxes!$B$4*0.85,5)&amp;" lb"&amp;"  ·  "&amp;"72.5% → "&amp;MROUND(Maxes!$B$4*0.725,5)&amp;" lb"</f>
        <v>85% → 165 lb  ·  72.5% → 140 lb</v>
      </c>
      <c r="E14" s="25"/>
    </row>
    <row r="15" ht="60.0" customHeight="1">
      <c r="A15" s="5" t="s">
        <v>240</v>
      </c>
      <c r="B15" s="24" t="s">
        <v>117</v>
      </c>
      <c r="C15" s="5" t="s">
        <v>241</v>
      </c>
      <c r="D15" s="5"/>
      <c r="E15" s="25"/>
    </row>
    <row r="16" ht="129.75" customHeight="1">
      <c r="A16" s="5" t="s">
        <v>242</v>
      </c>
      <c r="B16" s="24" t="s">
        <v>124</v>
      </c>
      <c r="C16" s="5" t="s">
        <v>243</v>
      </c>
      <c r="D16" s="5" t="str">
        <f>"75% → "&amp;MROUND(Maxes!$B$6*0.75,5)&amp;" lb"</f>
        <v>75% → 235 lb</v>
      </c>
      <c r="E16" s="25"/>
    </row>
    <row r="17" ht="60.0" customHeight="1">
      <c r="A17" s="5" t="s">
        <v>244</v>
      </c>
      <c r="B17" s="24" t="s">
        <v>128</v>
      </c>
      <c r="C17" s="5" t="s">
        <v>245</v>
      </c>
      <c r="D17" s="5" t="str">
        <f>"80% → "&amp;MROUND(Maxes!$B$3*0.8,5)&amp;" lb"</f>
        <v>80% → 180 lb</v>
      </c>
      <c r="E17" s="25"/>
    </row>
    <row r="18">
      <c r="A18" s="2"/>
      <c r="B18" s="2"/>
      <c r="C18" s="2"/>
      <c r="D18" s="2"/>
      <c r="E18" s="2"/>
    </row>
    <row r="19" ht="15.0" customHeight="1">
      <c r="A19" s="21" t="s">
        <v>246</v>
      </c>
      <c r="B19" s="22"/>
      <c r="C19" s="22"/>
      <c r="D19" s="22"/>
      <c r="E19" s="23"/>
    </row>
    <row r="20" ht="103.5" customHeight="1">
      <c r="A20" s="5" t="s">
        <v>247</v>
      </c>
      <c r="B20" s="24" t="s">
        <v>109</v>
      </c>
      <c r="C20" s="5" t="s">
        <v>248</v>
      </c>
      <c r="D20" s="5" t="str">
        <f>"75% → "&amp;MROUND(Maxes!$B$2*0.75,5)&amp;" lb"</f>
        <v>75% → 205 lb</v>
      </c>
      <c r="E20" s="25"/>
    </row>
    <row r="21" ht="129.75" customHeight="1">
      <c r="A21" s="5" t="s">
        <v>249</v>
      </c>
      <c r="B21" s="24" t="s">
        <v>113</v>
      </c>
      <c r="C21" s="5" t="s">
        <v>250</v>
      </c>
      <c r="D21" s="5" t="str">
        <f>"75% → "&amp;MROUND(Maxes!$B$4*0.75,5)&amp;" lb"</f>
        <v>75% → 145 lb</v>
      </c>
      <c r="E21" s="25"/>
    </row>
    <row r="22" ht="60.0" customHeight="1">
      <c r="A22" s="5" t="s">
        <v>251</v>
      </c>
      <c r="B22" s="24" t="s">
        <v>117</v>
      </c>
      <c r="C22" s="5" t="s">
        <v>252</v>
      </c>
      <c r="D22" s="5"/>
      <c r="E22" s="25"/>
    </row>
    <row r="23" ht="129.75" customHeight="1">
      <c r="A23" s="5" t="s">
        <v>253</v>
      </c>
      <c r="B23" s="24" t="s">
        <v>124</v>
      </c>
      <c r="C23" s="5" t="s">
        <v>254</v>
      </c>
      <c r="D23" s="5" t="str">
        <f>"80% → "&amp;MROUND(Maxes!$B$6*0.8,5)&amp;" lb"</f>
        <v>80% → 250 lb</v>
      </c>
      <c r="E23" s="25"/>
    </row>
    <row r="24" ht="60.0" customHeight="1">
      <c r="A24" s="5" t="s">
        <v>255</v>
      </c>
      <c r="B24" s="24" t="s">
        <v>128</v>
      </c>
      <c r="C24" s="5" t="s">
        <v>256</v>
      </c>
      <c r="D24" s="5" t="str">
        <f>"75% → "&amp;MROUND(Maxes!$B$3*0.75,5)&amp;" lb"</f>
        <v>75% → 170 lb</v>
      </c>
      <c r="E24" s="25"/>
    </row>
    <row r="25" ht="15.75" customHeight="1">
      <c r="A25" s="2"/>
      <c r="B25" s="2"/>
      <c r="C25" s="2"/>
      <c r="D25" s="2"/>
      <c r="E25" s="2"/>
    </row>
    <row r="26" ht="15.0" customHeight="1">
      <c r="A26" s="21" t="s">
        <v>257</v>
      </c>
      <c r="B26" s="22"/>
      <c r="C26" s="22"/>
      <c r="D26" s="22"/>
      <c r="E26" s="23"/>
    </row>
    <row r="27" ht="78.0" customHeight="1">
      <c r="A27" s="5" t="s">
        <v>258</v>
      </c>
      <c r="B27" s="24" t="s">
        <v>109</v>
      </c>
      <c r="C27" s="5" t="s">
        <v>259</v>
      </c>
      <c r="D27" s="5" t="str">
        <f>"80% → "&amp;MROUND(Maxes!$B$2*0.8,5)&amp;" lb"</f>
        <v>80% → 220 lb</v>
      </c>
      <c r="E27" s="25"/>
    </row>
    <row r="28" ht="117.0" customHeight="1">
      <c r="A28" s="5" t="s">
        <v>260</v>
      </c>
      <c r="B28" s="24" t="s">
        <v>113</v>
      </c>
      <c r="C28" s="5" t="s">
        <v>261</v>
      </c>
      <c r="D28" s="5" t="str">
        <f>"80% → "&amp;MROUND(Maxes!$B$4*0.8,5)&amp;" lb"</f>
        <v>80% → 155 lb</v>
      </c>
      <c r="E28" s="25"/>
    </row>
    <row r="29" ht="60.0" customHeight="1">
      <c r="A29" s="5" t="s">
        <v>262</v>
      </c>
      <c r="B29" s="24" t="s">
        <v>117</v>
      </c>
      <c r="C29" s="5" t="s">
        <v>263</v>
      </c>
      <c r="D29" s="5"/>
      <c r="E29" s="25"/>
    </row>
    <row r="30" ht="129.75" customHeight="1">
      <c r="A30" s="5" t="s">
        <v>264</v>
      </c>
      <c r="B30" s="24" t="s">
        <v>124</v>
      </c>
      <c r="C30" s="5" t="s">
        <v>265</v>
      </c>
      <c r="D30" s="5" t="str">
        <f>"80% → "&amp;MROUND(Maxes!$B$6*0.8,5)&amp;" lb"</f>
        <v>80% → 250 lb</v>
      </c>
      <c r="E30" s="25"/>
    </row>
    <row r="31" ht="60.0" customHeight="1">
      <c r="A31" s="5" t="s">
        <v>266</v>
      </c>
      <c r="B31" s="24" t="s">
        <v>128</v>
      </c>
      <c r="C31" s="5" t="s">
        <v>267</v>
      </c>
      <c r="D31" s="5" t="str">
        <f>"80% → "&amp;MROUND(Maxes!$B$3*0.8,5)&amp;" lb"</f>
        <v>80% → 180 lb</v>
      </c>
      <c r="E31" s="25"/>
    </row>
    <row r="32" ht="15.75" customHeight="1">
      <c r="A32" s="2"/>
      <c r="B32" s="2"/>
      <c r="C32" s="2"/>
      <c r="D32" s="2"/>
      <c r="E32" s="2"/>
    </row>
    <row r="33" ht="15.0" customHeight="1">
      <c r="A33" s="21" t="s">
        <v>268</v>
      </c>
      <c r="B33" s="22"/>
      <c r="C33" s="22"/>
      <c r="D33" s="22"/>
      <c r="E33" s="23"/>
    </row>
    <row r="34" ht="78.0" customHeight="1">
      <c r="A34" s="5" t="s">
        <v>269</v>
      </c>
      <c r="B34" s="24" t="s">
        <v>109</v>
      </c>
      <c r="C34" s="5" t="s">
        <v>270</v>
      </c>
      <c r="D34" s="5" t="str">
        <f>"80% → "&amp;MROUND(Maxes!$B$2*0.8,5)&amp;" lb"&amp;"  ·  "&amp;"70% → "&amp;MROUND(Maxes!$B$2*0.7,5)&amp;" lb"</f>
        <v>80% → 220 lb  ·  70% → 195 lb</v>
      </c>
      <c r="E34" s="25"/>
    </row>
    <row r="35" ht="117.0" customHeight="1">
      <c r="A35" s="5" t="s">
        <v>271</v>
      </c>
      <c r="B35" s="24" t="s">
        <v>113</v>
      </c>
      <c r="C35" s="5" t="s">
        <v>272</v>
      </c>
      <c r="D35" s="5" t="str">
        <f>"80% → "&amp;MROUND(Maxes!$B$4*0.8,5)&amp;" lb"&amp;"  ·  "&amp;"70% → "&amp;MROUND(Maxes!$B$4*0.7,5)&amp;" lb"</f>
        <v>80% → 155 lb  ·  70% → 135 lb</v>
      </c>
      <c r="E35" s="25"/>
    </row>
    <row r="36" ht="60.0" customHeight="1">
      <c r="A36" s="5" t="s">
        <v>273</v>
      </c>
      <c r="B36" s="24" t="s">
        <v>117</v>
      </c>
      <c r="C36" s="5" t="s">
        <v>274</v>
      </c>
      <c r="D36" s="5"/>
      <c r="E36" s="25"/>
    </row>
    <row r="37" ht="117.0" customHeight="1">
      <c r="A37" s="5" t="s">
        <v>275</v>
      </c>
      <c r="B37" s="24" t="s">
        <v>124</v>
      </c>
      <c r="C37" s="5" t="s">
        <v>276</v>
      </c>
      <c r="D37" s="5"/>
      <c r="E37" s="25"/>
    </row>
    <row r="38" ht="60.0" customHeight="1">
      <c r="A38" s="5" t="s">
        <v>277</v>
      </c>
      <c r="B38" s="24" t="s">
        <v>128</v>
      </c>
      <c r="C38" s="5" t="s">
        <v>278</v>
      </c>
      <c r="D38" s="5"/>
      <c r="E38" s="25"/>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6">
    <mergeCell ref="A2:E2"/>
    <mergeCell ref="A5:E5"/>
    <mergeCell ref="A12:E12"/>
    <mergeCell ref="A19:E19"/>
    <mergeCell ref="A26:E26"/>
    <mergeCell ref="A33:E3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0"/>
    <col customWidth="1" min="3" max="3" width="72.0"/>
    <col customWidth="1" min="4" max="4" width="40.0"/>
    <col customWidth="1" min="5" max="5" width="46.0"/>
    <col customWidth="1" min="6" max="26" width="8.71"/>
  </cols>
  <sheetData>
    <row r="1" ht="15.75" customHeight="1">
      <c r="A1" s="15" t="s">
        <v>279</v>
      </c>
      <c r="B1" s="2"/>
      <c r="C1" s="2"/>
      <c r="D1" s="2"/>
      <c r="E1" s="2"/>
    </row>
    <row r="2" ht="64.5" customHeight="1">
      <c r="A2" s="3" t="s">
        <v>280</v>
      </c>
    </row>
    <row r="3">
      <c r="A3" s="2"/>
      <c r="B3" s="2"/>
      <c r="C3" s="2"/>
      <c r="D3" s="2"/>
      <c r="E3" s="2"/>
    </row>
    <row r="4" ht="15.0" customHeight="1">
      <c r="A4" s="4" t="s">
        <v>136</v>
      </c>
      <c r="B4" s="4" t="s">
        <v>105</v>
      </c>
      <c r="C4" s="4" t="s">
        <v>164</v>
      </c>
      <c r="D4" s="4" t="s">
        <v>165</v>
      </c>
      <c r="E4" s="4" t="s">
        <v>166</v>
      </c>
    </row>
    <row r="5" ht="15.0" customHeight="1">
      <c r="A5" s="21" t="s">
        <v>281</v>
      </c>
      <c r="B5" s="22"/>
      <c r="C5" s="22"/>
      <c r="D5" s="22"/>
      <c r="E5" s="23"/>
    </row>
    <row r="6" ht="60.0" customHeight="1">
      <c r="A6" s="5" t="s">
        <v>282</v>
      </c>
      <c r="B6" s="24" t="s">
        <v>109</v>
      </c>
      <c r="C6" s="5" t="s">
        <v>283</v>
      </c>
      <c r="D6" s="5" t="str">
        <f>"80% → "&amp;MROUND(Maxes!$B$2*0.8,5)&amp;" lb"</f>
        <v>80% → 220 lb</v>
      </c>
      <c r="E6" s="25"/>
    </row>
    <row r="7" ht="60.0" customHeight="1">
      <c r="A7" s="5" t="s">
        <v>284</v>
      </c>
      <c r="B7" s="24" t="s">
        <v>113</v>
      </c>
      <c r="C7" s="5" t="s">
        <v>285</v>
      </c>
      <c r="D7" s="5" t="str">
        <f>"80% → "&amp;MROUND(Maxes!$B$4*0.8,5)&amp;" lb"</f>
        <v>80% → 155 lb</v>
      </c>
      <c r="E7" s="25"/>
    </row>
    <row r="8" ht="60.0" customHeight="1">
      <c r="A8" s="5" t="s">
        <v>286</v>
      </c>
      <c r="B8" s="24" t="s">
        <v>117</v>
      </c>
      <c r="C8" s="5" t="s">
        <v>287</v>
      </c>
      <c r="D8" s="5"/>
      <c r="E8" s="25"/>
    </row>
    <row r="9" ht="60.0" customHeight="1">
      <c r="A9" s="5" t="s">
        <v>288</v>
      </c>
      <c r="B9" s="24" t="s">
        <v>121</v>
      </c>
      <c r="C9" s="5" t="s">
        <v>289</v>
      </c>
      <c r="D9" s="5"/>
      <c r="E9" s="25"/>
    </row>
    <row r="10" ht="60.0" customHeight="1">
      <c r="A10" s="5" t="s">
        <v>290</v>
      </c>
      <c r="B10" s="24" t="s">
        <v>124</v>
      </c>
      <c r="C10" s="5" t="s">
        <v>291</v>
      </c>
      <c r="D10" s="5"/>
      <c r="E10" s="25"/>
    </row>
    <row r="11" ht="60.0" customHeight="1">
      <c r="A11" s="5" t="s">
        <v>292</v>
      </c>
      <c r="B11" s="24" t="s">
        <v>128</v>
      </c>
      <c r="C11" s="5" t="s">
        <v>293</v>
      </c>
      <c r="D11" s="5"/>
      <c r="E11" s="25"/>
    </row>
    <row r="12">
      <c r="A12" s="2"/>
      <c r="B12" s="2"/>
      <c r="C12" s="2"/>
      <c r="D12" s="2"/>
      <c r="E12" s="2"/>
    </row>
    <row r="13" ht="15.0" customHeight="1">
      <c r="A13" s="21" t="s">
        <v>294</v>
      </c>
      <c r="B13" s="22"/>
      <c r="C13" s="22"/>
      <c r="D13" s="22"/>
      <c r="E13" s="23"/>
    </row>
    <row r="14" ht="60.0" customHeight="1">
      <c r="A14" s="5" t="s">
        <v>295</v>
      </c>
      <c r="B14" s="24" t="s">
        <v>109</v>
      </c>
      <c r="C14" s="5" t="s">
        <v>296</v>
      </c>
      <c r="D14" s="5" t="str">
        <f>"75% → "&amp;MROUND(Maxes!$B$2*0.75,5)&amp;" lb"</f>
        <v>75% → 205 lb</v>
      </c>
      <c r="E14" s="25"/>
    </row>
    <row r="15" ht="60.0" customHeight="1">
      <c r="A15" s="5" t="s">
        <v>297</v>
      </c>
      <c r="B15" s="24" t="s">
        <v>113</v>
      </c>
      <c r="C15" s="5" t="s">
        <v>298</v>
      </c>
      <c r="D15" s="5" t="str">
        <f>"75% → "&amp;MROUND(Maxes!$B$4*0.75,5)&amp;" lb"</f>
        <v>75% → 145 lb</v>
      </c>
      <c r="E15" s="25"/>
    </row>
    <row r="16" ht="60.0" customHeight="1">
      <c r="A16" s="5" t="s">
        <v>299</v>
      </c>
      <c r="B16" s="24" t="s">
        <v>117</v>
      </c>
      <c r="C16" s="5" t="s">
        <v>300</v>
      </c>
      <c r="D16" s="5"/>
      <c r="E16" s="25"/>
    </row>
    <row r="17" ht="60.0" customHeight="1">
      <c r="A17" s="5" t="s">
        <v>301</v>
      </c>
      <c r="B17" s="24" t="s">
        <v>121</v>
      </c>
      <c r="C17" s="5" t="s">
        <v>302</v>
      </c>
      <c r="D17" s="5"/>
      <c r="E17" s="25"/>
    </row>
    <row r="18" ht="60.0" customHeight="1">
      <c r="A18" s="5" t="s">
        <v>303</v>
      </c>
      <c r="B18" s="24" t="s">
        <v>124</v>
      </c>
      <c r="C18" s="5" t="s">
        <v>291</v>
      </c>
      <c r="D18" s="5"/>
      <c r="E18" s="25"/>
    </row>
    <row r="19" ht="60.0" customHeight="1">
      <c r="A19" s="5" t="s">
        <v>304</v>
      </c>
      <c r="B19" s="24" t="s">
        <v>128</v>
      </c>
      <c r="C19" s="5" t="s">
        <v>293</v>
      </c>
      <c r="D19" s="5"/>
      <c r="E19" s="25"/>
    </row>
    <row r="20">
      <c r="A20" s="2"/>
      <c r="B20" s="2"/>
      <c r="C20" s="2"/>
      <c r="D20" s="2"/>
      <c r="E20" s="2"/>
    </row>
    <row r="21" ht="15.0" customHeight="1">
      <c r="A21" s="21" t="s">
        <v>305</v>
      </c>
      <c r="B21" s="22"/>
      <c r="C21" s="22"/>
      <c r="D21" s="22"/>
      <c r="E21" s="23"/>
    </row>
    <row r="22" ht="60.0" customHeight="1">
      <c r="A22" s="5" t="s">
        <v>306</v>
      </c>
      <c r="B22" s="24" t="s">
        <v>109</v>
      </c>
      <c r="C22" s="5" t="s">
        <v>296</v>
      </c>
      <c r="D22" s="5" t="str">
        <f>"75% → "&amp;MROUND(Maxes!$B$2*0.75,5)&amp;" lb"</f>
        <v>75% → 205 lb</v>
      </c>
      <c r="E22" s="25"/>
    </row>
    <row r="23" ht="60.0" customHeight="1">
      <c r="A23" s="5" t="s">
        <v>307</v>
      </c>
      <c r="B23" s="24" t="s">
        <v>113</v>
      </c>
      <c r="C23" s="5" t="s">
        <v>298</v>
      </c>
      <c r="D23" s="5" t="str">
        <f>"75% → "&amp;MROUND(Maxes!$B$4*0.75,5)&amp;" lb"</f>
        <v>75% → 145 lb</v>
      </c>
      <c r="E23" s="25"/>
    </row>
    <row r="24" ht="60.0" customHeight="1">
      <c r="A24" s="5" t="s">
        <v>308</v>
      </c>
      <c r="B24" s="24" t="s">
        <v>117</v>
      </c>
      <c r="C24" s="5" t="s">
        <v>300</v>
      </c>
      <c r="D24" s="5"/>
      <c r="E24" s="25"/>
    </row>
    <row r="25" ht="60.0" customHeight="1">
      <c r="A25" s="5" t="s">
        <v>309</v>
      </c>
      <c r="B25" s="24" t="s">
        <v>121</v>
      </c>
      <c r="C25" s="5" t="s">
        <v>310</v>
      </c>
      <c r="D25" s="5"/>
      <c r="E25" s="25"/>
    </row>
    <row r="26" ht="60.0" customHeight="1">
      <c r="A26" s="5" t="s">
        <v>311</v>
      </c>
      <c r="B26" s="24" t="s">
        <v>124</v>
      </c>
      <c r="C26" s="5" t="s">
        <v>291</v>
      </c>
      <c r="D26" s="5"/>
      <c r="E26" s="25"/>
    </row>
    <row r="27" ht="60.0" customHeight="1">
      <c r="A27" s="5" t="s">
        <v>312</v>
      </c>
      <c r="B27" s="24" t="s">
        <v>128</v>
      </c>
      <c r="C27" s="5" t="s">
        <v>293</v>
      </c>
      <c r="D27" s="5"/>
      <c r="E27" s="25"/>
    </row>
    <row r="28" ht="15.75" customHeight="1">
      <c r="A28" s="2"/>
      <c r="B28" s="2"/>
      <c r="C28" s="2"/>
      <c r="D28" s="2"/>
      <c r="E28" s="2"/>
    </row>
    <row r="29" ht="15.0" customHeight="1">
      <c r="A29" s="21" t="s">
        <v>313</v>
      </c>
      <c r="B29" s="22"/>
      <c r="C29" s="22"/>
      <c r="D29" s="22"/>
      <c r="E29" s="23"/>
    </row>
    <row r="30" ht="60.0" customHeight="1">
      <c r="A30" s="5" t="s">
        <v>314</v>
      </c>
      <c r="B30" s="24" t="s">
        <v>109</v>
      </c>
      <c r="C30" s="5" t="s">
        <v>296</v>
      </c>
      <c r="D30" s="5" t="str">
        <f>"75% → "&amp;MROUND(Maxes!$B$2*0.75,5)&amp;" lb"</f>
        <v>75% → 205 lb</v>
      </c>
      <c r="E30" s="25"/>
    </row>
    <row r="31" ht="60.0" customHeight="1">
      <c r="A31" s="5" t="s">
        <v>315</v>
      </c>
      <c r="B31" s="24" t="s">
        <v>113</v>
      </c>
      <c r="C31" s="5" t="s">
        <v>298</v>
      </c>
      <c r="D31" s="5" t="str">
        <f>"75% → "&amp;MROUND(Maxes!$B$4*0.75,5)&amp;" lb"</f>
        <v>75% → 145 lb</v>
      </c>
      <c r="E31" s="25"/>
    </row>
    <row r="32" ht="60.0" customHeight="1">
      <c r="A32" s="5" t="s">
        <v>316</v>
      </c>
      <c r="B32" s="24" t="s">
        <v>117</v>
      </c>
      <c r="C32" s="5" t="s">
        <v>300</v>
      </c>
      <c r="D32" s="5"/>
      <c r="E32" s="25"/>
    </row>
    <row r="33" ht="60.0" customHeight="1">
      <c r="A33" s="5" t="s">
        <v>317</v>
      </c>
      <c r="B33" s="24" t="s">
        <v>121</v>
      </c>
      <c r="C33" s="5" t="s">
        <v>318</v>
      </c>
      <c r="D33" s="5"/>
      <c r="E33" s="25"/>
    </row>
    <row r="34" ht="60.0" customHeight="1">
      <c r="A34" s="5" t="s">
        <v>319</v>
      </c>
      <c r="B34" s="24" t="s">
        <v>124</v>
      </c>
      <c r="C34" s="5" t="s">
        <v>291</v>
      </c>
      <c r="D34" s="5"/>
      <c r="E34" s="25"/>
    </row>
    <row r="35" ht="60.0" customHeight="1">
      <c r="A35" s="5" t="s">
        <v>320</v>
      </c>
      <c r="B35" s="24" t="s">
        <v>128</v>
      </c>
      <c r="C35" s="5" t="s">
        <v>293</v>
      </c>
      <c r="D35" s="5"/>
      <c r="E35" s="25"/>
    </row>
    <row r="36" ht="15.75" customHeight="1">
      <c r="A36" s="2"/>
      <c r="B36" s="2"/>
      <c r="C36" s="2"/>
      <c r="D36" s="2"/>
      <c r="E36" s="2"/>
    </row>
    <row r="37" ht="15.0" customHeight="1">
      <c r="A37" s="21" t="s">
        <v>321</v>
      </c>
      <c r="B37" s="22"/>
      <c r="C37" s="22"/>
      <c r="D37" s="22"/>
      <c r="E37" s="23"/>
    </row>
    <row r="38" ht="60.0" customHeight="1">
      <c r="A38" s="5" t="s">
        <v>322</v>
      </c>
      <c r="B38" s="24" t="s">
        <v>109</v>
      </c>
      <c r="C38" s="5" t="s">
        <v>296</v>
      </c>
      <c r="D38" s="5" t="str">
        <f>"75% → "&amp;MROUND(Maxes!$B$2*0.75,5)&amp;" lb"</f>
        <v>75% → 205 lb</v>
      </c>
      <c r="E38" s="25"/>
    </row>
    <row r="39" ht="60.0" customHeight="1">
      <c r="A39" s="5" t="s">
        <v>323</v>
      </c>
      <c r="B39" s="24" t="s">
        <v>113</v>
      </c>
      <c r="C39" s="5" t="s">
        <v>324</v>
      </c>
      <c r="D39" s="5" t="str">
        <f>"75% → "&amp;MROUND(Maxes!$B$4*0.75,5)&amp;" lb"</f>
        <v>75% → 145 lb</v>
      </c>
      <c r="E39" s="25"/>
    </row>
    <row r="40" ht="60.0" customHeight="1">
      <c r="A40" s="5" t="s">
        <v>325</v>
      </c>
      <c r="B40" s="24" t="s">
        <v>117</v>
      </c>
      <c r="C40" s="5" t="s">
        <v>326</v>
      </c>
      <c r="D40" s="5"/>
      <c r="E40" s="25"/>
    </row>
    <row r="41" ht="60.0" customHeight="1">
      <c r="A41" s="5" t="s">
        <v>327</v>
      </c>
      <c r="B41" s="24" t="s">
        <v>121</v>
      </c>
      <c r="C41" s="5" t="s">
        <v>328</v>
      </c>
      <c r="D41" s="5"/>
      <c r="E41" s="25"/>
    </row>
    <row r="42" ht="60.0" customHeight="1">
      <c r="A42" s="5" t="s">
        <v>329</v>
      </c>
      <c r="B42" s="24" t="s">
        <v>124</v>
      </c>
      <c r="C42" s="5" t="s">
        <v>330</v>
      </c>
      <c r="D42" s="5"/>
      <c r="E42" s="25"/>
    </row>
    <row r="43" ht="60.0" customHeight="1">
      <c r="A43" s="5" t="s">
        <v>331</v>
      </c>
      <c r="B43" s="24" t="s">
        <v>128</v>
      </c>
      <c r="C43" s="5" t="s">
        <v>332</v>
      </c>
      <c r="D43" s="5"/>
      <c r="E43" s="25"/>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6">
    <mergeCell ref="A2:E2"/>
    <mergeCell ref="A5:E5"/>
    <mergeCell ref="A13:E13"/>
    <mergeCell ref="A21:E21"/>
    <mergeCell ref="A29:E29"/>
    <mergeCell ref="A37:E37"/>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0"/>
    <col customWidth="1" min="3" max="3" width="72.0"/>
    <col customWidth="1" min="4" max="4" width="40.0"/>
    <col customWidth="1" min="5" max="5" width="46.0"/>
    <col customWidth="1" min="6" max="26" width="8.71"/>
  </cols>
  <sheetData>
    <row r="1" ht="15.75" customHeight="1">
      <c r="A1" s="15" t="s">
        <v>333</v>
      </c>
      <c r="B1" s="2"/>
      <c r="C1" s="2"/>
      <c r="D1" s="2"/>
      <c r="E1" s="2"/>
    </row>
    <row r="2" ht="39.0" customHeight="1">
      <c r="A2" s="3" t="s">
        <v>334</v>
      </c>
    </row>
    <row r="3">
      <c r="A3" s="2"/>
      <c r="B3" s="2"/>
      <c r="C3" s="2"/>
      <c r="D3" s="2"/>
      <c r="E3" s="2"/>
    </row>
    <row r="4" ht="15.0" customHeight="1">
      <c r="A4" s="4" t="s">
        <v>136</v>
      </c>
      <c r="B4" s="4" t="s">
        <v>105</v>
      </c>
      <c r="C4" s="4" t="s">
        <v>164</v>
      </c>
      <c r="D4" s="4" t="s">
        <v>165</v>
      </c>
      <c r="E4" s="4" t="s">
        <v>166</v>
      </c>
    </row>
    <row r="5" ht="15.0" customHeight="1">
      <c r="A5" s="21" t="s">
        <v>335</v>
      </c>
      <c r="B5" s="22"/>
      <c r="C5" s="22"/>
      <c r="D5" s="22"/>
      <c r="E5" s="23"/>
    </row>
    <row r="6" ht="78.0" customHeight="1">
      <c r="A6" s="5" t="s">
        <v>336</v>
      </c>
      <c r="B6" s="24" t="s">
        <v>109</v>
      </c>
      <c r="C6" s="5" t="s">
        <v>337</v>
      </c>
      <c r="D6" s="5" t="str">
        <f>"72.5% → "&amp;MROUND(Maxes!$B$2*0.725,5)&amp;" lb"</f>
        <v>72.5% → 200 lb</v>
      </c>
      <c r="E6" s="25"/>
    </row>
    <row r="7" ht="129.75" customHeight="1">
      <c r="A7" s="5" t="s">
        <v>338</v>
      </c>
      <c r="B7" s="24" t="s">
        <v>113</v>
      </c>
      <c r="C7" s="5" t="s">
        <v>339</v>
      </c>
      <c r="D7" s="5" t="str">
        <f>"72.5% → "&amp;MROUND(Maxes!$B$4*0.725,5)&amp;" lb"</f>
        <v>72.5% → 140 lb</v>
      </c>
      <c r="E7" s="25"/>
    </row>
    <row r="8" ht="60.0" customHeight="1">
      <c r="A8" s="5" t="s">
        <v>340</v>
      </c>
      <c r="B8" s="24" t="s">
        <v>117</v>
      </c>
      <c r="C8" s="5" t="s">
        <v>341</v>
      </c>
      <c r="D8" s="5"/>
      <c r="E8" s="25"/>
    </row>
    <row r="9" ht="78.0" customHeight="1">
      <c r="A9" s="5" t="s">
        <v>342</v>
      </c>
      <c r="B9" s="24" t="s">
        <v>124</v>
      </c>
      <c r="C9" s="5" t="s">
        <v>343</v>
      </c>
      <c r="D9" s="5" t="str">
        <f>"72.5% → "&amp;MROUND(Maxes!$B$5*0.725,5)&amp;" lb"</f>
        <v>72.5% → 100 lb</v>
      </c>
      <c r="E9" s="25"/>
    </row>
    <row r="10" ht="60.0" customHeight="1">
      <c r="A10" s="5" t="s">
        <v>344</v>
      </c>
      <c r="B10" s="24" t="s">
        <v>128</v>
      </c>
      <c r="C10" s="5" t="s">
        <v>345</v>
      </c>
      <c r="D10" s="5" t="str">
        <f>"72.5% → "&amp;MROUND(Maxes!$B$3*0.725,5)&amp;" lb"</f>
        <v>72.5% → 165 lb</v>
      </c>
      <c r="E10" s="25"/>
    </row>
    <row r="11">
      <c r="A11" s="2"/>
      <c r="B11" s="2"/>
      <c r="C11" s="2"/>
      <c r="D11" s="2"/>
      <c r="E11" s="2"/>
    </row>
    <row r="12" ht="15.0" customHeight="1">
      <c r="A12" s="21" t="s">
        <v>346</v>
      </c>
      <c r="B12" s="22"/>
      <c r="C12" s="22"/>
      <c r="D12" s="22"/>
      <c r="E12" s="23"/>
    </row>
    <row r="13" ht="60.0" customHeight="1">
      <c r="A13" s="5" t="s">
        <v>347</v>
      </c>
      <c r="B13" s="24" t="s">
        <v>109</v>
      </c>
      <c r="C13" s="5" t="s">
        <v>348</v>
      </c>
      <c r="D13" s="5" t="str">
        <f>"77.5% → "&amp;MROUND(Maxes!$B$2*0.775,5)&amp;" lb"&amp;"  ·  "&amp;"82.5% → "&amp;MROUND(Maxes!$B$2*0.825,5)&amp;" lb"</f>
        <v>77.5% → 215 lb  ·  82.5% → 225 lb</v>
      </c>
      <c r="E13" s="25"/>
    </row>
    <row r="14" ht="78.0" customHeight="1">
      <c r="A14" s="5" t="s">
        <v>349</v>
      </c>
      <c r="B14" s="24" t="s">
        <v>113</v>
      </c>
      <c r="C14" s="5" t="s">
        <v>350</v>
      </c>
      <c r="D14" s="5" t="str">
        <f>"77.5% → "&amp;MROUND(Maxes!$B$4*0.775,5)&amp;" lb"&amp;"  ·  "&amp;"82.5% → "&amp;MROUND(Maxes!$B$4*0.825,5)&amp;" lb"</f>
        <v>77.5% → 150 lb  ·  82.5% → 160 lb</v>
      </c>
      <c r="E14" s="25"/>
    </row>
    <row r="15" ht="60.0" customHeight="1">
      <c r="A15" s="5" t="s">
        <v>351</v>
      </c>
      <c r="B15" s="24" t="s">
        <v>117</v>
      </c>
      <c r="C15" s="5" t="s">
        <v>352</v>
      </c>
      <c r="D15" s="5"/>
      <c r="E15" s="25"/>
    </row>
    <row r="16" ht="78.0" customHeight="1">
      <c r="A16" s="5" t="s">
        <v>353</v>
      </c>
      <c r="B16" s="24" t="s">
        <v>124</v>
      </c>
      <c r="C16" s="5" t="s">
        <v>354</v>
      </c>
      <c r="D16" s="5" t="str">
        <f>"80% → "&amp;MROUND(Maxes!$B$6*0.8,5)&amp;" lb"</f>
        <v>80% → 250 lb</v>
      </c>
      <c r="E16" s="25"/>
    </row>
    <row r="17" ht="60.0" customHeight="1">
      <c r="A17" s="5" t="s">
        <v>355</v>
      </c>
      <c r="B17" s="24" t="s">
        <v>128</v>
      </c>
      <c r="C17" s="5" t="s">
        <v>356</v>
      </c>
      <c r="D17" s="5" t="str">
        <f>"77.5% → "&amp;MROUND(Maxes!$B$3*0.775,5)&amp;" lb"</f>
        <v>77.5% → 175 lb</v>
      </c>
      <c r="E17" s="25"/>
    </row>
    <row r="18">
      <c r="A18" s="2"/>
      <c r="B18" s="2"/>
      <c r="C18" s="2"/>
      <c r="D18" s="2"/>
      <c r="E18" s="2"/>
    </row>
    <row r="19" ht="15.0" customHeight="1">
      <c r="A19" s="21" t="s">
        <v>357</v>
      </c>
      <c r="B19" s="22"/>
      <c r="C19" s="22"/>
      <c r="D19" s="22"/>
      <c r="E19" s="23"/>
    </row>
    <row r="20" ht="60.0" customHeight="1">
      <c r="A20" s="5" t="s">
        <v>358</v>
      </c>
      <c r="B20" s="24" t="s">
        <v>109</v>
      </c>
      <c r="C20" s="5" t="s">
        <v>359</v>
      </c>
      <c r="D20" s="5" t="str">
        <f>"82.5% → "&amp;MROUND(Maxes!$B$2*0.825,5)&amp;" lb"&amp;"  ·  "&amp;"87.5% → "&amp;MROUND(Maxes!$B$2*0.875,5)&amp;" lb"</f>
        <v>82.5% → 225 lb  ·  87.5% → 240 lb</v>
      </c>
      <c r="E20" s="25"/>
    </row>
    <row r="21" ht="78.0" customHeight="1">
      <c r="A21" s="5" t="s">
        <v>360</v>
      </c>
      <c r="B21" s="24" t="s">
        <v>113</v>
      </c>
      <c r="C21" s="5" t="s">
        <v>361</v>
      </c>
      <c r="D21" s="5" t="str">
        <f>"82.5% → "&amp;MROUND(Maxes!$B$4*0.825,5)&amp;" lb"&amp;"  ·  "&amp;"87.5% → "&amp;MROUND(Maxes!$B$4*0.875,5)&amp;" lb"</f>
        <v>82.5% → 160 lb  ·  87.5% → 170 lb</v>
      </c>
      <c r="E21" s="25"/>
    </row>
    <row r="22" ht="60.0" customHeight="1">
      <c r="A22" s="5" t="s">
        <v>362</v>
      </c>
      <c r="B22" s="24" t="s">
        <v>117</v>
      </c>
      <c r="C22" s="5" t="s">
        <v>363</v>
      </c>
      <c r="D22" s="5"/>
      <c r="E22" s="25"/>
    </row>
    <row r="23" ht="78.0" customHeight="1">
      <c r="A23" s="5" t="s">
        <v>364</v>
      </c>
      <c r="B23" s="24" t="s">
        <v>124</v>
      </c>
      <c r="C23" s="5" t="s">
        <v>365</v>
      </c>
      <c r="D23" s="5" t="str">
        <f>"85% → "&amp;MROUND(Maxes!$B$6*0.85,5)&amp;" lb"</f>
        <v>85% → 270 lb</v>
      </c>
      <c r="E23" s="25"/>
    </row>
    <row r="24" ht="60.0" customHeight="1">
      <c r="A24" s="5" t="s">
        <v>366</v>
      </c>
      <c r="B24" s="24" t="s">
        <v>128</v>
      </c>
      <c r="C24" s="5" t="s">
        <v>367</v>
      </c>
      <c r="D24" s="5" t="str">
        <f>"82.5% → "&amp;MROUND(Maxes!$B$3*0.825,5)&amp;" lb"</f>
        <v>82.5% → 185 lb</v>
      </c>
      <c r="E24" s="25"/>
    </row>
    <row r="25" ht="15.75" customHeight="1">
      <c r="A25" s="2"/>
      <c r="B25" s="2"/>
      <c r="C25" s="2"/>
      <c r="D25" s="2"/>
      <c r="E25" s="2"/>
    </row>
    <row r="26" ht="15.0" customHeight="1">
      <c r="A26" s="21" t="s">
        <v>368</v>
      </c>
      <c r="B26" s="22"/>
      <c r="C26" s="22"/>
      <c r="D26" s="22"/>
      <c r="E26" s="23"/>
    </row>
    <row r="27" ht="60.0" customHeight="1">
      <c r="A27" s="5" t="s">
        <v>369</v>
      </c>
      <c r="B27" s="24" t="s">
        <v>109</v>
      </c>
      <c r="C27" s="5" t="s">
        <v>370</v>
      </c>
      <c r="D27" s="5"/>
      <c r="E27" s="25"/>
    </row>
    <row r="28" ht="60.0" customHeight="1">
      <c r="A28" s="5" t="s">
        <v>371</v>
      </c>
      <c r="B28" s="24" t="s">
        <v>113</v>
      </c>
      <c r="C28" s="5" t="s">
        <v>372</v>
      </c>
      <c r="D28" s="5"/>
      <c r="E28" s="25"/>
    </row>
    <row r="29" ht="60.0" customHeight="1">
      <c r="A29" s="5" t="s">
        <v>373</v>
      </c>
      <c r="B29" s="24" t="s">
        <v>117</v>
      </c>
      <c r="C29" s="5" t="s">
        <v>374</v>
      </c>
      <c r="D29" s="5"/>
      <c r="E29" s="25"/>
    </row>
    <row r="30" ht="60.0" customHeight="1">
      <c r="A30" s="5" t="s">
        <v>375</v>
      </c>
      <c r="B30" s="24" t="s">
        <v>121</v>
      </c>
      <c r="C30" s="5" t="s">
        <v>376</v>
      </c>
      <c r="D30" s="5"/>
      <c r="E30" s="25"/>
    </row>
    <row r="31" ht="60.0" customHeight="1">
      <c r="A31" s="5" t="s">
        <v>377</v>
      </c>
      <c r="B31" s="24" t="s">
        <v>128</v>
      </c>
      <c r="C31" s="5" t="s">
        <v>378</v>
      </c>
      <c r="D31" s="5"/>
      <c r="E31" s="25"/>
    </row>
    <row r="32" ht="15.75" customHeight="1">
      <c r="A32" s="2"/>
      <c r="B32" s="2"/>
      <c r="C32" s="2"/>
      <c r="D32" s="2"/>
      <c r="E32" s="2"/>
    </row>
    <row r="33" ht="15.0" customHeight="1">
      <c r="A33" s="21" t="s">
        <v>379</v>
      </c>
      <c r="B33" s="22"/>
      <c r="C33" s="22"/>
      <c r="D33" s="22"/>
      <c r="E33" s="23"/>
    </row>
    <row r="34" ht="60.0" customHeight="1">
      <c r="A34" s="5" t="s">
        <v>380</v>
      </c>
      <c r="B34" s="24" t="s">
        <v>109</v>
      </c>
      <c r="C34" s="5" t="s">
        <v>381</v>
      </c>
      <c r="D34" s="5" t="str">
        <f>"85% → "&amp;MROUND(Maxes!$B$2*0.85,5)&amp;" lb"&amp;"  ·  "&amp;"92.5% → "&amp;MROUND(Maxes!$B$2*0.925,5)&amp;" lb"</f>
        <v>85% → 235 lb  ·  92.5% → 255 lb</v>
      </c>
      <c r="E34" s="25"/>
    </row>
    <row r="35" ht="60.0" customHeight="1">
      <c r="A35" s="5" t="s">
        <v>382</v>
      </c>
      <c r="B35" s="24" t="s">
        <v>113</v>
      </c>
      <c r="C35" s="5" t="s">
        <v>383</v>
      </c>
      <c r="D35" s="5" t="str">
        <f>"85% → "&amp;MROUND(Maxes!$B$4*0.85,5)&amp;" lb"&amp;"  ·  "&amp;"92.5% → "&amp;MROUND(Maxes!$B$4*0.925,5)&amp;" lb"</f>
        <v>85% → 165 lb  ·  92.5% → 180 lb</v>
      </c>
      <c r="E35" s="25"/>
    </row>
    <row r="36" ht="60.0" customHeight="1">
      <c r="A36" s="5" t="s">
        <v>384</v>
      </c>
      <c r="B36" s="24" t="s">
        <v>117</v>
      </c>
      <c r="C36" s="5" t="s">
        <v>385</v>
      </c>
      <c r="D36" s="5"/>
      <c r="E36" s="25"/>
    </row>
    <row r="37" ht="60.0" customHeight="1">
      <c r="A37" s="5" t="s">
        <v>386</v>
      </c>
      <c r="B37" s="24" t="s">
        <v>124</v>
      </c>
      <c r="C37" s="5" t="s">
        <v>387</v>
      </c>
      <c r="D37" s="5" t="str">
        <f>"85% → "&amp;MROUND(Maxes!$B$5*0.85,5)&amp;" lb"</f>
        <v>85% → 115 lb</v>
      </c>
      <c r="E37" s="25"/>
    </row>
    <row r="38" ht="60.0" customHeight="1">
      <c r="A38" s="5" t="s">
        <v>388</v>
      </c>
      <c r="B38" s="24" t="s">
        <v>128</v>
      </c>
      <c r="C38" s="5" t="s">
        <v>389</v>
      </c>
      <c r="D38" s="5" t="str">
        <f>"85% → "&amp;MROUND(Maxes!$B$3*0.85,5)&amp;" lb"</f>
        <v>85% → 190 lb</v>
      </c>
      <c r="E38" s="25"/>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6">
    <mergeCell ref="A2:E2"/>
    <mergeCell ref="A5:E5"/>
    <mergeCell ref="A12:E12"/>
    <mergeCell ref="A19:E19"/>
    <mergeCell ref="A26:E26"/>
    <mergeCell ref="A33:E3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0"/>
    <col customWidth="1" min="3" max="3" width="72.0"/>
    <col customWidth="1" min="4" max="4" width="40.0"/>
    <col customWidth="1" min="5" max="5" width="46.0"/>
    <col customWidth="1" min="6" max="26" width="8.71"/>
  </cols>
  <sheetData>
    <row r="1" ht="15.75" customHeight="1">
      <c r="A1" s="15" t="s">
        <v>390</v>
      </c>
      <c r="B1" s="2"/>
      <c r="C1" s="2"/>
      <c r="D1" s="2"/>
      <c r="E1" s="2"/>
    </row>
    <row r="2" ht="39.0" customHeight="1">
      <c r="A2" s="3" t="s">
        <v>391</v>
      </c>
    </row>
    <row r="3">
      <c r="A3" s="2"/>
      <c r="B3" s="2"/>
      <c r="C3" s="2"/>
      <c r="D3" s="2"/>
      <c r="E3" s="2"/>
    </row>
    <row r="4" ht="15.0" customHeight="1">
      <c r="A4" s="4" t="s">
        <v>136</v>
      </c>
      <c r="B4" s="4" t="s">
        <v>105</v>
      </c>
      <c r="C4" s="4" t="s">
        <v>164</v>
      </c>
      <c r="D4" s="4" t="s">
        <v>165</v>
      </c>
      <c r="E4" s="4" t="s">
        <v>166</v>
      </c>
    </row>
    <row r="5" ht="15.0" customHeight="1">
      <c r="A5" s="21" t="s">
        <v>392</v>
      </c>
      <c r="B5" s="22"/>
      <c r="C5" s="22"/>
      <c r="D5" s="22"/>
      <c r="E5" s="23"/>
    </row>
    <row r="6" ht="64.5" customHeight="1">
      <c r="A6" s="5" t="s">
        <v>393</v>
      </c>
      <c r="B6" s="24" t="s">
        <v>109</v>
      </c>
      <c r="C6" s="5" t="s">
        <v>394</v>
      </c>
      <c r="D6" s="5" t="str">
        <f>"82.5% → "&amp;MROUND(Maxes!$B$2*0.825,5)&amp;" lb"</f>
        <v>82.5% → 225 lb</v>
      </c>
      <c r="E6" s="25"/>
    </row>
    <row r="7" ht="78.0" customHeight="1">
      <c r="A7" s="5" t="s">
        <v>395</v>
      </c>
      <c r="B7" s="24" t="s">
        <v>113</v>
      </c>
      <c r="C7" s="5" t="s">
        <v>396</v>
      </c>
      <c r="D7" s="5" t="str">
        <f>"82.5% → "&amp;MROUND(Maxes!$B$4*0.825,5)&amp;" lb"</f>
        <v>82.5% → 160 lb</v>
      </c>
      <c r="E7" s="25"/>
    </row>
    <row r="8" ht="60.0" customHeight="1">
      <c r="A8" s="5" t="s">
        <v>397</v>
      </c>
      <c r="B8" s="24" t="s">
        <v>117</v>
      </c>
      <c r="C8" s="5" t="s">
        <v>398</v>
      </c>
      <c r="D8" s="5"/>
      <c r="E8" s="25"/>
    </row>
    <row r="9" ht="60.0" customHeight="1">
      <c r="A9" s="5" t="s">
        <v>399</v>
      </c>
      <c r="B9" s="24" t="s">
        <v>124</v>
      </c>
      <c r="C9" s="5" t="s">
        <v>400</v>
      </c>
      <c r="D9" s="5" t="str">
        <f>"65% → "&amp;MROUND(Maxes!$B$7*0.65,5)&amp;" lb"&amp;"  ·  "&amp;"75% → "&amp;MROUND(Maxes!$B$7*0.75,5)&amp;" lb"</f>
        <v>65% → 135 lb  ·  75% → 155 lb</v>
      </c>
      <c r="E9" s="25"/>
    </row>
    <row r="10" ht="60.0" customHeight="1">
      <c r="A10" s="5" t="s">
        <v>401</v>
      </c>
      <c r="B10" s="24" t="s">
        <v>128</v>
      </c>
      <c r="C10" s="5" t="s">
        <v>402</v>
      </c>
      <c r="D10" s="5"/>
      <c r="E10" s="25"/>
    </row>
    <row r="11">
      <c r="A11" s="2"/>
      <c r="B11" s="2"/>
      <c r="C11" s="2"/>
      <c r="D11" s="2"/>
      <c r="E11" s="2"/>
    </row>
    <row r="12" ht="15.0" customHeight="1">
      <c r="A12" s="21" t="s">
        <v>403</v>
      </c>
      <c r="B12" s="22"/>
      <c r="C12" s="22"/>
      <c r="D12" s="22"/>
      <c r="E12" s="23"/>
    </row>
    <row r="13" ht="64.5" customHeight="1">
      <c r="A13" s="5" t="s">
        <v>404</v>
      </c>
      <c r="B13" s="24" t="s">
        <v>109</v>
      </c>
      <c r="C13" s="5" t="s">
        <v>405</v>
      </c>
      <c r="D13" s="5" t="str">
        <f>"85% → "&amp;MROUND(Maxes!$B$2*0.85,5)&amp;" lb"</f>
        <v>85% → 235 lb</v>
      </c>
      <c r="E13" s="25"/>
    </row>
    <row r="14" ht="64.5" customHeight="1">
      <c r="A14" s="5" t="s">
        <v>406</v>
      </c>
      <c r="B14" s="24" t="s">
        <v>113</v>
      </c>
      <c r="C14" s="5" t="s">
        <v>407</v>
      </c>
      <c r="D14" s="5" t="str">
        <f>"85% → "&amp;MROUND(Maxes!$B$4*0.85,5)&amp;" lb"</f>
        <v>85% → 165 lb</v>
      </c>
      <c r="E14" s="25"/>
    </row>
    <row r="15" ht="60.0" customHeight="1">
      <c r="A15" s="5" t="s">
        <v>408</v>
      </c>
      <c r="B15" s="24" t="s">
        <v>117</v>
      </c>
      <c r="C15" s="5" t="s">
        <v>409</v>
      </c>
      <c r="D15" s="5"/>
      <c r="E15" s="25"/>
    </row>
    <row r="16" ht="60.0" customHeight="1">
      <c r="A16" s="5" t="s">
        <v>410</v>
      </c>
      <c r="B16" s="24" t="s">
        <v>124</v>
      </c>
      <c r="C16" s="5" t="s">
        <v>411</v>
      </c>
      <c r="D16" s="5" t="str">
        <f>"80% → "&amp;MROUND(Maxes!$B$6*0.8,5)&amp;" lb"</f>
        <v>80% → 250 lb</v>
      </c>
      <c r="E16" s="25"/>
    </row>
    <row r="17" ht="60.0" customHeight="1">
      <c r="A17" s="5" t="s">
        <v>412</v>
      </c>
      <c r="B17" s="24" t="s">
        <v>128</v>
      </c>
      <c r="C17" s="5" t="s">
        <v>413</v>
      </c>
      <c r="D17" s="5"/>
      <c r="E17" s="25"/>
    </row>
    <row r="18">
      <c r="A18" s="2"/>
      <c r="B18" s="2"/>
      <c r="C18" s="2"/>
      <c r="D18" s="2"/>
      <c r="E18" s="2"/>
    </row>
    <row r="19" ht="15.0" customHeight="1">
      <c r="A19" s="21" t="s">
        <v>414</v>
      </c>
      <c r="B19" s="22"/>
      <c r="C19" s="22"/>
      <c r="D19" s="22"/>
      <c r="E19" s="23"/>
    </row>
    <row r="20" ht="60.0" customHeight="1">
      <c r="A20" s="5" t="s">
        <v>415</v>
      </c>
      <c r="B20" s="24" t="s">
        <v>109</v>
      </c>
      <c r="C20" s="5" t="s">
        <v>416</v>
      </c>
      <c r="D20" s="5" t="str">
        <f>"85% → "&amp;MROUND(Maxes!$B$2*0.85,5)&amp;" lb"</f>
        <v>85% → 235 lb</v>
      </c>
      <c r="E20" s="25"/>
    </row>
    <row r="21" ht="60.0" customHeight="1">
      <c r="A21" s="5" t="s">
        <v>417</v>
      </c>
      <c r="B21" s="24" t="s">
        <v>113</v>
      </c>
      <c r="C21" s="5" t="s">
        <v>418</v>
      </c>
      <c r="D21" s="5"/>
      <c r="E21" s="25"/>
    </row>
    <row r="22" ht="60.0" customHeight="1">
      <c r="A22" s="5" t="s">
        <v>419</v>
      </c>
      <c r="B22" s="24" t="s">
        <v>117</v>
      </c>
      <c r="C22" s="5" t="s">
        <v>420</v>
      </c>
      <c r="D22" s="5"/>
      <c r="E22" s="25"/>
    </row>
    <row r="23" ht="60.0" customHeight="1">
      <c r="A23" s="5" t="s">
        <v>421</v>
      </c>
      <c r="B23" s="24" t="s">
        <v>128</v>
      </c>
      <c r="C23" s="5" t="s">
        <v>422</v>
      </c>
      <c r="D23" s="5"/>
      <c r="E23" s="25"/>
    </row>
    <row r="24" ht="15.75" customHeight="1">
      <c r="A24" s="2"/>
      <c r="B24" s="2"/>
      <c r="C24" s="2"/>
      <c r="D24" s="2"/>
      <c r="E24" s="2"/>
    </row>
    <row r="25" ht="15.0" customHeight="1">
      <c r="A25" s="21" t="s">
        <v>423</v>
      </c>
      <c r="B25" s="22"/>
      <c r="C25" s="22"/>
      <c r="D25" s="22"/>
      <c r="E25" s="23"/>
    </row>
    <row r="26" ht="60.0" customHeight="1">
      <c r="A26" s="5" t="s">
        <v>424</v>
      </c>
      <c r="B26" s="24" t="s">
        <v>109</v>
      </c>
      <c r="C26" s="5" t="s">
        <v>425</v>
      </c>
      <c r="D26" s="5" t="str">
        <f>"80% → "&amp;MROUND(Maxes!$B$2*0.8,5)&amp;" lb"</f>
        <v>80% → 220 lb</v>
      </c>
      <c r="E26" s="25"/>
    </row>
    <row r="27" ht="60.0" customHeight="1">
      <c r="A27" s="5" t="s">
        <v>426</v>
      </c>
      <c r="B27" s="24" t="s">
        <v>113</v>
      </c>
      <c r="C27" s="5" t="s">
        <v>427</v>
      </c>
      <c r="D27" s="5" t="str">
        <f>"70% → "&amp;MROUND(Maxes!$B$7*0.7,5)&amp;" lb"</f>
        <v>70% → 145 lb</v>
      </c>
      <c r="E27" s="25"/>
    </row>
    <row r="28" ht="60.0" customHeight="1">
      <c r="A28" s="5" t="s">
        <v>428</v>
      </c>
      <c r="B28" s="24" t="s">
        <v>117</v>
      </c>
      <c r="C28" s="5" t="s">
        <v>429</v>
      </c>
      <c r="D28" s="5"/>
      <c r="E28" s="25"/>
    </row>
    <row r="29" ht="60.0" customHeight="1">
      <c r="A29" s="5" t="s">
        <v>430</v>
      </c>
      <c r="B29" s="24" t="s">
        <v>124</v>
      </c>
      <c r="C29" s="5" t="s">
        <v>431</v>
      </c>
      <c r="D29" s="5"/>
      <c r="E29" s="25"/>
    </row>
    <row r="30" ht="64.5" customHeight="1">
      <c r="A30" s="5" t="s">
        <v>432</v>
      </c>
      <c r="B30" s="24" t="s">
        <v>128</v>
      </c>
      <c r="C30" s="5" t="s">
        <v>433</v>
      </c>
      <c r="D30" s="5"/>
      <c r="E30" s="25"/>
    </row>
    <row r="31" ht="60.0" customHeight="1">
      <c r="A31" s="5" t="s">
        <v>434</v>
      </c>
      <c r="B31" s="24" t="s">
        <v>132</v>
      </c>
      <c r="C31" s="5" t="s">
        <v>435</v>
      </c>
      <c r="D31" s="5"/>
      <c r="E31" s="25"/>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5">
    <mergeCell ref="A2:E2"/>
    <mergeCell ref="A5:E5"/>
    <mergeCell ref="A12:E12"/>
    <mergeCell ref="A19:E19"/>
    <mergeCell ref="A25:E25"/>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0"/>
    <col customWidth="1" min="3" max="3" width="72.0"/>
    <col customWidth="1" min="4" max="4" width="40.0"/>
    <col customWidth="1" min="5" max="5" width="46.0"/>
    <col customWidth="1" min="6" max="26" width="8.71"/>
  </cols>
  <sheetData>
    <row r="1" ht="15.75" customHeight="1">
      <c r="A1" s="15" t="s">
        <v>436</v>
      </c>
      <c r="B1" s="2"/>
      <c r="C1" s="2"/>
      <c r="D1" s="2"/>
      <c r="E1" s="2"/>
    </row>
    <row r="2" ht="39.0" customHeight="1">
      <c r="A2" s="3" t="s">
        <v>437</v>
      </c>
    </row>
    <row r="3">
      <c r="A3" s="2"/>
      <c r="B3" s="2"/>
      <c r="C3" s="2"/>
      <c r="D3" s="2"/>
      <c r="E3" s="2"/>
    </row>
    <row r="4" ht="15.0" customHeight="1">
      <c r="A4" s="4" t="s">
        <v>136</v>
      </c>
      <c r="B4" s="4" t="s">
        <v>105</v>
      </c>
      <c r="C4" s="4" t="s">
        <v>164</v>
      </c>
      <c r="D4" s="4" t="s">
        <v>165</v>
      </c>
      <c r="E4" s="4" t="s">
        <v>166</v>
      </c>
    </row>
    <row r="5" ht="15.0" customHeight="1">
      <c r="A5" s="21" t="s">
        <v>438</v>
      </c>
      <c r="B5" s="22"/>
      <c r="C5" s="22"/>
      <c r="D5" s="22"/>
      <c r="E5" s="23"/>
    </row>
    <row r="6" ht="60.0" customHeight="1">
      <c r="A6" s="5" t="s">
        <v>439</v>
      </c>
      <c r="B6" s="24" t="s">
        <v>109</v>
      </c>
      <c r="C6" s="5" t="s">
        <v>440</v>
      </c>
      <c r="D6" s="5" t="str">
        <f>"80% → "&amp;MROUND(Maxes!$B$2*0.8,5)&amp;" lb"</f>
        <v>80% → 220 lb</v>
      </c>
      <c r="E6" s="25"/>
    </row>
    <row r="7" ht="60.0" customHeight="1">
      <c r="A7" s="5" t="s">
        <v>441</v>
      </c>
      <c r="B7" s="24" t="s">
        <v>113</v>
      </c>
      <c r="C7" s="5" t="s">
        <v>442</v>
      </c>
      <c r="D7" s="5"/>
      <c r="E7" s="25"/>
    </row>
    <row r="8" ht="60.0" customHeight="1">
      <c r="A8" s="5" t="s">
        <v>443</v>
      </c>
      <c r="B8" s="24" t="s">
        <v>117</v>
      </c>
      <c r="C8" s="5" t="s">
        <v>444</v>
      </c>
      <c r="D8" s="5"/>
      <c r="E8" s="25"/>
    </row>
    <row r="9" ht="60.0" customHeight="1">
      <c r="A9" s="5" t="s">
        <v>445</v>
      </c>
      <c r="B9" s="24" t="s">
        <v>124</v>
      </c>
      <c r="C9" s="5" t="s">
        <v>446</v>
      </c>
      <c r="D9" s="5" t="str">
        <f>"80% → "&amp;MROUND(Maxes!$B$7*0.8,5)&amp;" lb"</f>
        <v>80% → 165 lb</v>
      </c>
      <c r="E9" s="25"/>
    </row>
    <row r="10" ht="60.0" customHeight="1">
      <c r="A10" s="5" t="s">
        <v>447</v>
      </c>
      <c r="B10" s="24" t="s">
        <v>128</v>
      </c>
      <c r="C10" s="5" t="s">
        <v>448</v>
      </c>
      <c r="D10" s="5"/>
      <c r="E10" s="25"/>
    </row>
    <row r="11">
      <c r="A11" s="2"/>
      <c r="B11" s="2"/>
      <c r="C11" s="2"/>
      <c r="D11" s="2"/>
      <c r="E11" s="2"/>
    </row>
    <row r="12" ht="15.0" customHeight="1">
      <c r="A12" s="21" t="s">
        <v>449</v>
      </c>
      <c r="B12" s="22"/>
      <c r="C12" s="22"/>
      <c r="D12" s="22"/>
      <c r="E12" s="23"/>
    </row>
    <row r="13" ht="60.0" customHeight="1">
      <c r="A13" s="5" t="s">
        <v>450</v>
      </c>
      <c r="B13" s="24" t="s">
        <v>109</v>
      </c>
      <c r="C13" s="5" t="s">
        <v>451</v>
      </c>
      <c r="D13" s="5" t="str">
        <f>"70% → "&amp;MROUND(Maxes!$B$2*0.7,5)&amp;" lb"</f>
        <v>70% → 195 lb</v>
      </c>
      <c r="E13" s="25"/>
    </row>
    <row r="14" ht="60.0" customHeight="1">
      <c r="A14" s="5" t="s">
        <v>452</v>
      </c>
      <c r="B14" s="24" t="s">
        <v>113</v>
      </c>
      <c r="C14" s="5" t="s">
        <v>453</v>
      </c>
      <c r="D14" s="5"/>
      <c r="E14" s="25"/>
    </row>
    <row r="15" ht="60.0" customHeight="1">
      <c r="A15" s="5" t="s">
        <v>454</v>
      </c>
      <c r="B15" s="24" t="s">
        <v>117</v>
      </c>
      <c r="C15" s="5" t="s">
        <v>455</v>
      </c>
      <c r="D15" s="5"/>
      <c r="E15" s="25"/>
    </row>
    <row r="16" ht="60.0" customHeight="1">
      <c r="A16" s="5" t="s">
        <v>456</v>
      </c>
      <c r="B16" s="24" t="s">
        <v>121</v>
      </c>
      <c r="C16" s="5" t="s">
        <v>457</v>
      </c>
      <c r="D16" s="5"/>
      <c r="E16" s="25"/>
    </row>
    <row r="17" ht="60.0" customHeight="1">
      <c r="A17" s="5" t="s">
        <v>458</v>
      </c>
      <c r="B17" s="24" t="s">
        <v>124</v>
      </c>
      <c r="C17" s="5" t="s">
        <v>459</v>
      </c>
      <c r="D17" s="5"/>
      <c r="E17" s="25"/>
    </row>
    <row r="18" ht="60.0" customHeight="1">
      <c r="A18" s="5" t="s">
        <v>460</v>
      </c>
      <c r="B18" s="24" t="s">
        <v>128</v>
      </c>
      <c r="C18" s="5" t="s">
        <v>461</v>
      </c>
      <c r="D18" s="5"/>
      <c r="E18" s="25"/>
    </row>
    <row r="19" ht="78.0" customHeight="1">
      <c r="A19" s="5" t="s">
        <v>462</v>
      </c>
      <c r="B19" s="24" t="s">
        <v>132</v>
      </c>
      <c r="C19" s="5" t="s">
        <v>463</v>
      </c>
      <c r="D19" s="5"/>
      <c r="E19" s="25"/>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3">
    <mergeCell ref="A2:E2"/>
    <mergeCell ref="A5:E5"/>
    <mergeCell ref="A12:E1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4.0"/>
    <col customWidth="1" min="3" max="3" width="18.0"/>
    <col customWidth="1" min="4" max="5" width="14.0"/>
    <col customWidth="1" min="6" max="6" width="30.0"/>
    <col customWidth="1" min="7" max="26" width="8.71"/>
  </cols>
  <sheetData>
    <row r="1" ht="15.0" customHeight="1">
      <c r="A1" s="26" t="s">
        <v>464</v>
      </c>
      <c r="B1" s="2"/>
      <c r="C1" s="2"/>
      <c r="D1" s="2"/>
      <c r="E1" s="2"/>
      <c r="F1" s="2"/>
    </row>
    <row r="2">
      <c r="A2" s="2"/>
      <c r="B2" s="2"/>
      <c r="C2" s="2"/>
      <c r="D2" s="2"/>
      <c r="E2" s="2"/>
      <c r="F2" s="2"/>
    </row>
    <row r="3" ht="15.0" customHeight="1">
      <c r="A3" s="4" t="s">
        <v>465</v>
      </c>
      <c r="B3" s="4" t="s">
        <v>466</v>
      </c>
      <c r="C3" s="4" t="s">
        <v>467</v>
      </c>
      <c r="D3" s="4" t="s">
        <v>468</v>
      </c>
      <c r="E3" s="4" t="s">
        <v>469</v>
      </c>
      <c r="F3" s="4" t="s">
        <v>470</v>
      </c>
    </row>
    <row r="4" ht="15.0" customHeight="1">
      <c r="A4" s="27" t="s">
        <v>471</v>
      </c>
      <c r="B4" s="28"/>
      <c r="C4" s="28"/>
      <c r="D4" s="28"/>
      <c r="E4" s="28"/>
      <c r="F4" s="27" t="s">
        <v>472</v>
      </c>
    </row>
    <row r="5" ht="15.0" customHeight="1">
      <c r="A5" s="27" t="s">
        <v>473</v>
      </c>
      <c r="B5" s="28"/>
      <c r="C5" s="28"/>
      <c r="D5" s="28"/>
      <c r="E5" s="28"/>
      <c r="F5" s="27" t="s">
        <v>474</v>
      </c>
    </row>
    <row r="6" ht="15.0" customHeight="1">
      <c r="A6" s="27" t="s">
        <v>475</v>
      </c>
      <c r="B6" s="28"/>
      <c r="C6" s="28"/>
      <c r="D6" s="28"/>
      <c r="E6" s="28"/>
      <c r="F6" s="27" t="s">
        <v>476</v>
      </c>
    </row>
    <row r="7" ht="15.0" customHeight="1">
      <c r="A7" s="27" t="s">
        <v>477</v>
      </c>
      <c r="B7" s="28"/>
      <c r="C7" s="28"/>
      <c r="D7" s="28"/>
      <c r="E7" s="28"/>
      <c r="F7" s="27" t="s">
        <v>478</v>
      </c>
    </row>
    <row r="8" ht="15.0" customHeight="1">
      <c r="A8" s="27" t="s">
        <v>479</v>
      </c>
      <c r="B8" s="28"/>
      <c r="C8" s="28"/>
      <c r="D8" s="28"/>
      <c r="E8" s="28"/>
      <c r="F8" s="27" t="s">
        <v>480</v>
      </c>
    </row>
    <row r="9" ht="15.0" customHeight="1">
      <c r="A9" s="27" t="s">
        <v>481</v>
      </c>
      <c r="B9" s="28"/>
      <c r="C9" s="28"/>
      <c r="D9" s="28"/>
      <c r="E9" s="28"/>
      <c r="F9" s="27" t="s">
        <v>482</v>
      </c>
    </row>
    <row r="10" ht="15.0" customHeight="1">
      <c r="A10" s="27" t="s">
        <v>483</v>
      </c>
      <c r="B10" s="28"/>
      <c r="C10" s="28"/>
      <c r="D10" s="28"/>
      <c r="E10" s="28"/>
      <c r="F10" s="27" t="s">
        <v>484</v>
      </c>
    </row>
    <row r="11" ht="15.0" customHeight="1">
      <c r="A11" s="27" t="s">
        <v>485</v>
      </c>
      <c r="B11" s="28"/>
      <c r="C11" s="28"/>
      <c r="D11" s="28"/>
      <c r="E11" s="28"/>
      <c r="F11" s="27" t="s">
        <v>486</v>
      </c>
    </row>
    <row r="12" ht="15.0" customHeight="1">
      <c r="A12" s="27" t="s">
        <v>487</v>
      </c>
      <c r="B12" s="28"/>
      <c r="C12" s="28"/>
      <c r="D12" s="28"/>
      <c r="E12" s="28"/>
      <c r="F12" s="27" t="s">
        <v>488</v>
      </c>
    </row>
    <row r="13" ht="15.0" customHeight="1">
      <c r="A13" s="27" t="s">
        <v>489</v>
      </c>
      <c r="B13" s="28"/>
      <c r="C13" s="28"/>
      <c r="D13" s="28"/>
      <c r="E13" s="28"/>
      <c r="F13" s="27" t="s">
        <v>490</v>
      </c>
    </row>
    <row r="14" ht="15.0" customHeight="1">
      <c r="A14" s="27" t="s">
        <v>491</v>
      </c>
      <c r="B14" s="28"/>
      <c r="C14" s="28"/>
      <c r="D14" s="28"/>
      <c r="E14" s="28"/>
      <c r="F14" s="27" t="s">
        <v>492</v>
      </c>
    </row>
    <row r="15" ht="15.0" customHeight="1">
      <c r="A15" s="27" t="s">
        <v>493</v>
      </c>
      <c r="B15" s="28"/>
      <c r="C15" s="28"/>
      <c r="D15" s="28"/>
      <c r="E15" s="28"/>
      <c r="F15" s="27" t="s">
        <v>494</v>
      </c>
    </row>
    <row r="16" ht="15.0" customHeight="1">
      <c r="A16" s="27" t="s">
        <v>495</v>
      </c>
      <c r="B16" s="28"/>
      <c r="C16" s="28"/>
      <c r="D16" s="28"/>
      <c r="E16" s="28"/>
      <c r="F16" s="27" t="s">
        <v>496</v>
      </c>
    </row>
    <row r="17" ht="15.0" customHeight="1">
      <c r="A17" s="27" t="s">
        <v>497</v>
      </c>
      <c r="B17" s="28"/>
      <c r="C17" s="28"/>
      <c r="D17" s="28"/>
      <c r="E17" s="28"/>
      <c r="F17" s="27"/>
    </row>
    <row r="18" ht="15.0" customHeight="1">
      <c r="A18" s="27" t="s">
        <v>498</v>
      </c>
      <c r="B18" s="28"/>
      <c r="C18" s="28"/>
      <c r="D18" s="28"/>
      <c r="E18" s="28"/>
      <c r="F18" s="27" t="s">
        <v>499</v>
      </c>
    </row>
    <row r="19" ht="15.0" customHeight="1">
      <c r="A19" s="27" t="s">
        <v>500</v>
      </c>
      <c r="B19" s="28"/>
      <c r="C19" s="28"/>
      <c r="D19" s="28"/>
      <c r="E19" s="28"/>
      <c r="F19" s="27" t="s">
        <v>501</v>
      </c>
    </row>
    <row r="20" ht="15.0" customHeight="1">
      <c r="A20" s="5" t="s">
        <v>502</v>
      </c>
      <c r="B20" s="25"/>
      <c r="C20" s="25"/>
      <c r="D20" s="25"/>
      <c r="E20" s="25"/>
      <c r="F20" s="5" t="s">
        <v>503</v>
      </c>
    </row>
    <row r="21" ht="15.0" customHeight="1">
      <c r="A21" s="5" t="s">
        <v>504</v>
      </c>
      <c r="B21" s="25"/>
      <c r="C21" s="25"/>
      <c r="D21" s="25"/>
      <c r="E21" s="25"/>
      <c r="F21" s="5" t="s">
        <v>490</v>
      </c>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2.0"/>
    <col customWidth="1" min="3" max="3" width="44.0"/>
    <col customWidth="1" min="4" max="4" width="48.0"/>
    <col customWidth="1" min="5" max="26" width="8.71"/>
  </cols>
  <sheetData>
    <row r="1" ht="15.75" customHeight="1">
      <c r="A1" s="15" t="s">
        <v>505</v>
      </c>
      <c r="B1" s="2"/>
      <c r="C1" s="2"/>
      <c r="D1" s="2"/>
    </row>
    <row r="2" ht="49.5" customHeight="1">
      <c r="A2" s="3" t="s">
        <v>506</v>
      </c>
    </row>
    <row r="3">
      <c r="A3" s="2"/>
      <c r="B3" s="2"/>
      <c r="C3" s="2"/>
      <c r="D3" s="2"/>
    </row>
    <row r="4" ht="15.0" customHeight="1">
      <c r="A4" s="16" t="s">
        <v>507</v>
      </c>
      <c r="B4" s="16" t="s">
        <v>508</v>
      </c>
      <c r="C4" s="16" t="s">
        <v>509</v>
      </c>
      <c r="D4" s="16" t="s">
        <v>510</v>
      </c>
    </row>
    <row r="5" ht="63.75" customHeight="1">
      <c r="A5" s="17" t="s">
        <v>511</v>
      </c>
      <c r="B5" s="18" t="s">
        <v>512</v>
      </c>
      <c r="C5" s="18" t="s">
        <v>513</v>
      </c>
      <c r="D5" s="18" t="s">
        <v>514</v>
      </c>
    </row>
    <row r="6" ht="63.75" customHeight="1">
      <c r="A6" s="17" t="s">
        <v>515</v>
      </c>
      <c r="B6" s="18" t="s">
        <v>516</v>
      </c>
      <c r="C6" s="18" t="s">
        <v>517</v>
      </c>
      <c r="D6" s="18" t="s">
        <v>518</v>
      </c>
    </row>
    <row r="7" ht="63.75" customHeight="1">
      <c r="A7" s="17" t="s">
        <v>519</v>
      </c>
      <c r="B7" s="18" t="s">
        <v>520</v>
      </c>
      <c r="C7" s="18" t="s">
        <v>521</v>
      </c>
      <c r="D7" s="18" t="s">
        <v>522</v>
      </c>
    </row>
    <row r="8" ht="63.75" customHeight="1">
      <c r="A8" s="17" t="s">
        <v>523</v>
      </c>
      <c r="B8" s="18" t="s">
        <v>524</v>
      </c>
      <c r="C8" s="18" t="s">
        <v>525</v>
      </c>
      <c r="D8" s="18" t="s">
        <v>526</v>
      </c>
    </row>
    <row r="9" ht="63.75" customHeight="1">
      <c r="A9" s="17" t="s">
        <v>527</v>
      </c>
      <c r="B9" s="18" t="s">
        <v>528</v>
      </c>
      <c r="C9" s="18" t="s">
        <v>529</v>
      </c>
      <c r="D9" s="18" t="s">
        <v>530</v>
      </c>
    </row>
    <row r="10" ht="63.75" customHeight="1">
      <c r="A10" s="29" t="s">
        <v>531</v>
      </c>
      <c r="B10" s="30" t="s">
        <v>532</v>
      </c>
      <c r="C10" s="30" t="s">
        <v>533</v>
      </c>
      <c r="D10" s="30" t="s">
        <v>534</v>
      </c>
    </row>
    <row r="11" ht="63.75" customHeight="1">
      <c r="A11" s="29" t="s">
        <v>535</v>
      </c>
      <c r="B11" s="30" t="s">
        <v>536</v>
      </c>
      <c r="C11" s="30" t="s">
        <v>537</v>
      </c>
      <c r="D11" s="30" t="s">
        <v>538</v>
      </c>
    </row>
    <row r="12" ht="63.75" customHeight="1">
      <c r="A12" s="29" t="s">
        <v>539</v>
      </c>
      <c r="B12" s="30" t="s">
        <v>540</v>
      </c>
      <c r="C12" s="30" t="s">
        <v>541</v>
      </c>
      <c r="D12" s="30" t="s">
        <v>542</v>
      </c>
    </row>
    <row r="13" ht="63.75" customHeight="1">
      <c r="A13" s="29" t="s">
        <v>543</v>
      </c>
      <c r="B13" s="30" t="s">
        <v>544</v>
      </c>
      <c r="C13" s="30" t="s">
        <v>545</v>
      </c>
      <c r="D13" s="30" t="s">
        <v>546</v>
      </c>
    </row>
    <row r="14" ht="63.75" customHeight="1">
      <c r="A14" s="29" t="s">
        <v>547</v>
      </c>
      <c r="B14" s="30" t="s">
        <v>548</v>
      </c>
      <c r="C14" s="30" t="s">
        <v>549</v>
      </c>
      <c r="D14" s="30" t="s">
        <v>550</v>
      </c>
    </row>
    <row r="15" ht="63.75" customHeight="1">
      <c r="A15" s="19" t="s">
        <v>551</v>
      </c>
      <c r="B15" s="20" t="s">
        <v>552</v>
      </c>
      <c r="C15" s="20" t="s">
        <v>553</v>
      </c>
      <c r="D15" s="20" t="s">
        <v>554</v>
      </c>
    </row>
    <row r="16" ht="63.75" customHeight="1">
      <c r="A16" s="19" t="s">
        <v>555</v>
      </c>
      <c r="B16" s="20" t="s">
        <v>556</v>
      </c>
      <c r="C16" s="20" t="s">
        <v>557</v>
      </c>
      <c r="D16" s="20" t="s">
        <v>558</v>
      </c>
    </row>
    <row r="17" ht="63.75" customHeight="1">
      <c r="A17" s="19" t="s">
        <v>559</v>
      </c>
      <c r="B17" s="20" t="s">
        <v>560</v>
      </c>
      <c r="C17" s="20" t="s">
        <v>561</v>
      </c>
      <c r="D17" s="20" t="s">
        <v>562</v>
      </c>
    </row>
    <row r="18" ht="63.75" customHeight="1">
      <c r="A18" s="19" t="s">
        <v>563</v>
      </c>
      <c r="B18" s="20" t="s">
        <v>564</v>
      </c>
      <c r="C18" s="20" t="s">
        <v>565</v>
      </c>
      <c r="D18" s="20" t="s">
        <v>566</v>
      </c>
    </row>
    <row r="19" ht="63.75" customHeight="1">
      <c r="A19" s="19" t="s">
        <v>567</v>
      </c>
      <c r="B19" s="20" t="s">
        <v>568</v>
      </c>
      <c r="C19" s="20" t="s">
        <v>569</v>
      </c>
      <c r="D19" s="20" t="s">
        <v>570</v>
      </c>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mergeCells count="1">
    <mergeCell ref="A2:D2"/>
  </mergeCells>
  <printOptions/>
  <pageMargins bottom="1.0" footer="0.0" header="0.0" left="0.75" right="0.75" top="1.0"/>
  <pageSetup paperSize="9" orientation="portrait"/>
  <drawing r:id="rId1"/>
</worksheet>
</file>